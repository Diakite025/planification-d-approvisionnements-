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OSSIER OPENCLASSROOMS\PROJET N°7\PARTIE V2\"/>
    </mc:Choice>
  </mc:AlternateContent>
  <xr:revisionPtr revIDLastSave="0" documentId="8_{C08C113E-FA65-4D4D-89A5-B9CD91031BC8}" xr6:coauthVersionLast="47" xr6:coauthVersionMax="47" xr10:uidLastSave="{00000000-0000-0000-0000-000000000000}"/>
  <bookViews>
    <workbookView xWindow="-108" yWindow="-108" windowWidth="23256" windowHeight="12456" firstSheet="4" activeTab="10" xr2:uid="{00000000-000D-0000-FFFF-FFFF00000000}"/>
  </bookViews>
  <sheets>
    <sheet name="Article" sheetId="1" r:id="rId1"/>
    <sheet name="Shop" sheetId="2" r:id="rId2"/>
    <sheet name="Fournisseurs-Magasin" sheetId="8" r:id="rId3"/>
    <sheet name="Transporteurs" sheetId="9" r:id="rId4"/>
    <sheet name="Forecast" sheetId="3" r:id="rId5"/>
    <sheet name="Commandes_EnCours" sheetId="4" r:id="rId6"/>
    <sheet name="Stock_S_Encours" sheetId="5" r:id="rId7"/>
    <sheet name="DICODATA" sheetId="6" r:id="rId8"/>
    <sheet name="DRP_V1" sheetId="11" r:id="rId9"/>
    <sheet name="Feuil2" sheetId="15" r:id="rId10"/>
    <sheet name="DRP_V2" sheetId="14" r:id="rId11"/>
    <sheet name="Feuil3" sheetId="16" r:id="rId12"/>
    <sheet name="Feuil1" sheetId="13"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25" i="14" l="1"/>
  <c r="K25" i="14" s="1" a="1"/>
  <c r="K25" i="14" s="1"/>
  <c r="K17" i="11"/>
  <c r="G8" i="14"/>
  <c r="I13" i="14"/>
  <c r="J8" i="14"/>
  <c r="I8" i="14"/>
  <c r="H8" i="14"/>
  <c r="I17" i="14"/>
  <c r="M8" i="14"/>
  <c r="L8" i="14"/>
  <c r="M25" i="14" l="1" a="1"/>
  <c r="M25" i="14" s="1"/>
  <c r="L25" i="14" a="1"/>
  <c r="L25" i="14" s="1"/>
  <c r="D4" i="9"/>
  <c r="D9" i="9"/>
  <c r="D2" i="9"/>
  <c r="D8" i="9"/>
  <c r="D7" i="9"/>
  <c r="D6" i="9"/>
  <c r="D5" i="9"/>
  <c r="D3" i="9"/>
  <c r="I20" i="14"/>
  <c r="A1" i="13"/>
  <c r="I18" i="14"/>
  <c r="I12" i="14"/>
  <c r="J12" i="14" s="1"/>
  <c r="K8" i="14"/>
  <c r="L10" i="13"/>
  <c r="K8" i="11"/>
  <c r="J8" i="11"/>
  <c r="I8" i="11"/>
  <c r="G8" i="11"/>
  <c r="H8" i="11"/>
  <c r="I17" i="11"/>
  <c r="I18" i="11"/>
  <c r="I13" i="11"/>
  <c r="I12" i="11"/>
  <c r="J12" i="11" s="1"/>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I15" i="11" l="1"/>
  <c r="I21" i="14"/>
  <c r="I19" i="14" s="1"/>
  <c r="I22" i="14" s="1"/>
  <c r="J14" i="14" s="1"/>
  <c r="I19" i="11"/>
  <c r="J14" i="11" s="1"/>
  <c r="I15" i="14"/>
  <c r="J17" i="14"/>
  <c r="J20" i="14" s="1"/>
  <c r="J18" i="14"/>
  <c r="K12" i="14"/>
  <c r="J18" i="11"/>
  <c r="J17" i="11"/>
  <c r="K12" i="11"/>
  <c r="J15" i="11" l="1"/>
  <c r="J15" i="14"/>
  <c r="K18" i="14"/>
  <c r="L12" i="14"/>
  <c r="K17" i="14"/>
  <c r="L12" i="11"/>
  <c r="K18" i="11"/>
  <c r="J19" i="11" l="1"/>
  <c r="K14" i="11" s="1"/>
  <c r="K15" i="11" s="1"/>
  <c r="K20" i="14"/>
  <c r="J21" i="14"/>
  <c r="J19" i="14" s="1"/>
  <c r="J22" i="14" s="1"/>
  <c r="K14" i="14" s="1"/>
  <c r="L18" i="14"/>
  <c r="M12" i="14"/>
  <c r="L17" i="14"/>
  <c r="L20" i="14" s="1"/>
  <c r="M12" i="11"/>
  <c r="L17" i="11"/>
  <c r="L18" i="11"/>
  <c r="K19" i="11" l="1"/>
  <c r="L14" i="11" s="1"/>
  <c r="K15" i="14"/>
  <c r="M18" i="14"/>
  <c r="N12" i="14"/>
  <c r="M17" i="14"/>
  <c r="M20" i="14" s="1"/>
  <c r="N12" i="11"/>
  <c r="M18" i="11"/>
  <c r="M17" i="11"/>
  <c r="L15" i="11" l="1"/>
  <c r="K21" i="14"/>
  <c r="K19" i="14" s="1"/>
  <c r="K22" i="14" s="1"/>
  <c r="L14" i="14" s="1"/>
  <c r="N18" i="14"/>
  <c r="O12" i="14"/>
  <c r="N17" i="14"/>
  <c r="N20" i="14" s="1"/>
  <c r="O12" i="11"/>
  <c r="N17" i="11"/>
  <c r="N18" i="11"/>
  <c r="L19" i="11" l="1"/>
  <c r="M14" i="11" s="1"/>
  <c r="L15" i="14"/>
  <c r="L21" i="14"/>
  <c r="P12" i="14"/>
  <c r="O17" i="14"/>
  <c r="O20" i="14" s="1"/>
  <c r="O18" i="14"/>
  <c r="O17" i="11"/>
  <c r="O18" i="11"/>
  <c r="P12" i="11"/>
  <c r="M15" i="11" l="1"/>
  <c r="P17" i="14"/>
  <c r="P18" i="14"/>
  <c r="P17" i="11"/>
  <c r="P18" i="11"/>
  <c r="M19" i="11" l="1"/>
  <c r="N14" i="11" s="1"/>
  <c r="P20" i="14"/>
  <c r="N15" i="11" l="1"/>
  <c r="N19" i="11" l="1"/>
  <c r="O14" i="11" s="1"/>
  <c r="O15" i="11" s="1"/>
  <c r="O16" i="11" s="1"/>
  <c r="M16" i="11"/>
  <c r="L16" i="11"/>
  <c r="K16" i="11"/>
  <c r="J16" i="11"/>
  <c r="I16" i="11"/>
  <c r="N16" i="11"/>
  <c r="O19" i="11" l="1"/>
  <c r="P14" i="11" s="1"/>
  <c r="H22" i="11" l="1"/>
  <c r="P15" i="11"/>
  <c r="P19" i="11" s="1"/>
  <c r="C13" i="11" s="1" a="1"/>
  <c r="C13" i="11" s="1"/>
  <c r="B13" i="11" s="1"/>
  <c r="L19" i="14"/>
  <c r="L22" i="14" s="1"/>
  <c r="P16" i="11" l="1"/>
  <c r="H21" i="11" s="1"/>
  <c r="D13" i="11"/>
  <c r="M14" i="14"/>
  <c r="M15" i="14" l="1"/>
  <c r="M21" i="14"/>
  <c r="M19" i="14" s="1"/>
  <c r="M22" i="14" s="1"/>
  <c r="N14" i="14" l="1"/>
  <c r="N15" i="14" l="1"/>
  <c r="N21" i="14"/>
  <c r="N19" i="14" s="1"/>
  <c r="N22" i="14" s="1"/>
  <c r="O14" i="14" l="1"/>
  <c r="O15" i="14" l="1"/>
  <c r="O21" i="14"/>
  <c r="O19" i="14" s="1"/>
  <c r="O22" i="14" s="1"/>
  <c r="P14" i="14" l="1"/>
  <c r="P15" i="14" l="1"/>
  <c r="I16" i="14" s="1"/>
  <c r="P21" i="14"/>
  <c r="P19" i="14" s="1"/>
  <c r="P22" i="14" s="1"/>
  <c r="C13" i="14" s="1" a="1"/>
  <c r="C13" i="14" s="1"/>
  <c r="H25" i="14"/>
  <c r="P16" i="14" l="1"/>
  <c r="N16" i="14"/>
  <c r="L16" i="14"/>
  <c r="O16" i="14"/>
  <c r="M16" i="14"/>
  <c r="J16" i="14"/>
  <c r="K16" i="14"/>
  <c r="B13" i="14"/>
  <c r="D13" i="14"/>
  <c r="H24"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1"/>
            <color rgb="FF000000"/>
            <rFont val="Calibri"/>
            <family val="2"/>
          </rPr>
          <t xml:space="preserve">======
</t>
        </r>
        <r>
          <rPr>
            <sz val="11"/>
            <color rgb="FF000000"/>
            <rFont val="Calibri"/>
            <family val="2"/>
          </rPr>
          <t xml:space="preserve">ID#AAAAsfJ7C40
</t>
        </r>
        <r>
          <rPr>
            <sz val="11"/>
            <color rgb="FF000000"/>
            <rFont val="Calibri"/>
            <family val="2"/>
          </rPr>
          <t xml:space="preserve">Luciana Dias    (2023-03-06 15:40:46)
</t>
        </r>
        <r>
          <rPr>
            <sz val="11"/>
            <color rgb="FF000000"/>
            <rFont val="Calibri"/>
            <family val="2"/>
          </rPr>
          <t xml:space="preserve">pourquoi utiliser shop et forecast dans les titres d'onglet, et pas magasins et prévisions? @marie.morey@openclassrooms.com
</t>
        </r>
        <r>
          <rPr>
            <sz val="11"/>
            <color rgb="FF000000"/>
            <rFont val="Calibri"/>
            <family val="2"/>
          </rPr>
          <t xml:space="preserve">------
</t>
        </r>
        <r>
          <rPr>
            <sz val="11"/>
            <color rgb="FF000000"/>
            <rFont val="Calibri"/>
            <family val="2"/>
          </rPr>
          <t xml:space="preserve">ID#AAAAso-ElTQ
</t>
        </r>
        <r>
          <rPr>
            <sz val="11"/>
            <color rgb="FF000000"/>
            <rFont val="Calibri"/>
            <family val="2"/>
          </rPr>
          <t xml:space="preserve">Marie Morey    (2023-03-09 15:21:32)
</t>
        </r>
        <r>
          <rPr>
            <sz val="11"/>
            <color rgb="FF000000"/>
            <rFont val="Calibri"/>
            <family val="2"/>
          </rPr>
          <t>@luciana.dias@openclassrooms.com : je pense que cela correspond à la réalité terrain; les extractions de bases de données contiennent souvent des tables en anglais. On traduit déjà beaucoup; je pense qu'on peut laisser ici.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<sst xmlns="http://schemas.openxmlformats.org/spreadsheetml/2006/main" count="360" uniqueCount="184">
  <si>
    <t>SKU</t>
  </si>
  <si>
    <t>LibSKU</t>
  </si>
  <si>
    <t>LibGFam</t>
  </si>
  <si>
    <t>UnCommande</t>
  </si>
  <si>
    <t>OLeadTime</t>
  </si>
  <si>
    <t>TUBE PVC</t>
  </si>
  <si>
    <t>SALLE DE BAINS</t>
  </si>
  <si>
    <t>PIECE</t>
  </si>
  <si>
    <t>COUDE PVC</t>
  </si>
  <si>
    <t>UVC</t>
  </si>
  <si>
    <t>CARTOUCHE SILICONE</t>
  </si>
  <si>
    <t>CLIPS POUR PLINTHE</t>
  </si>
  <si>
    <t>TRINGLE CHROME</t>
  </si>
  <si>
    <t>EQUERRE FIXATION</t>
  </si>
  <si>
    <t>POIGNEE CHROME</t>
  </si>
  <si>
    <t>SACH. PLIANT</t>
  </si>
  <si>
    <t>BONDE LAVABO</t>
  </si>
  <si>
    <t>KIT DE FIXATION</t>
  </si>
  <si>
    <t>BACHE DE PROTECTION</t>
  </si>
  <si>
    <t>MITIGEUR LAVABO</t>
  </si>
  <si>
    <t>BONDE DE DOUCHE</t>
  </si>
  <si>
    <t>BONDE GAIN DE PLACE</t>
  </si>
  <si>
    <t>CAISSON BAS</t>
  </si>
  <si>
    <t>CUISINE</t>
  </si>
  <si>
    <t>EQUERRES</t>
  </si>
  <si>
    <t>SACHET VIS P/1</t>
  </si>
  <si>
    <t xml:space="preserve">POIGNEE ALU </t>
  </si>
  <si>
    <t>ROSACE</t>
  </si>
  <si>
    <t>POIGNEE BLANCHE</t>
  </si>
  <si>
    <t>PIECE PVC</t>
  </si>
  <si>
    <t>POIGNEE BLANCHE RECTO</t>
  </si>
  <si>
    <t>BARILLET PVC</t>
  </si>
  <si>
    <t>SILICONE BLANC</t>
  </si>
  <si>
    <t>ROULEAU IMPRESSION</t>
  </si>
  <si>
    <t>PLANCHE BOIS CLAIR</t>
  </si>
  <si>
    <t>PLANCHE CHENE</t>
  </si>
  <si>
    <t>2*CHARNIERES</t>
  </si>
  <si>
    <t>PLINTHE INOX</t>
  </si>
  <si>
    <t>Location ID</t>
  </si>
  <si>
    <t>Lib Location</t>
  </si>
  <si>
    <t>LA ROCHELLE</t>
  </si>
  <si>
    <t>BAYONNE</t>
  </si>
  <si>
    <t>ARCUEIL</t>
  </si>
  <si>
    <t>NICE ARIANE (Est)</t>
  </si>
  <si>
    <t>VALENCIENNES</t>
  </si>
  <si>
    <t>CREIL</t>
  </si>
  <si>
    <t>LE HAVRE</t>
  </si>
  <si>
    <t>AVIGNON</t>
  </si>
  <si>
    <t>NICE VILLENEUVE LOUBET</t>
  </si>
  <si>
    <t>STRASBOURG NORD</t>
  </si>
  <si>
    <t>TOULON</t>
  </si>
  <si>
    <t>ROUEN</t>
  </si>
  <si>
    <t>GOURNAY</t>
  </si>
  <si>
    <t>NANCY</t>
  </si>
  <si>
    <t>BRIVE</t>
  </si>
  <si>
    <t>DIJON</t>
  </si>
  <si>
    <t>REIMS</t>
  </si>
  <si>
    <t>LIMOGES</t>
  </si>
  <si>
    <t>Date semaine</t>
  </si>
  <si>
    <t>Demande prévue</t>
  </si>
  <si>
    <t>Semaine de reception prévue</t>
  </si>
  <si>
    <t>Quantité Ordre ferme</t>
  </si>
  <si>
    <t>Quantité en Stock</t>
  </si>
  <si>
    <t>Nb : l’ensemble des quantités dans les tables de faits sont consolidées en unité de commande.</t>
  </si>
  <si>
    <t xml:space="preserve">Article </t>
  </si>
  <si>
    <t>Table de dimension</t>
  </si>
  <si>
    <t>Nom</t>
  </si>
  <si>
    <t>Type</t>
  </si>
  <si>
    <t>Desr</t>
  </si>
  <si>
    <t>Int</t>
  </si>
  <si>
    <t>Identifiant article (PK)</t>
  </si>
  <si>
    <t>String</t>
  </si>
  <si>
    <t>Libellé de l'article</t>
  </si>
  <si>
    <t>Famille de l'article</t>
  </si>
  <si>
    <t>Unité de commande</t>
  </si>
  <si>
    <t>Lead Time de l'article</t>
  </si>
  <si>
    <t>Shop</t>
  </si>
  <si>
    <t>Forecast</t>
  </si>
  <si>
    <t>Table de faits</t>
  </si>
  <si>
    <t>Identifiant boutique (FK)</t>
  </si>
  <si>
    <t>Identifiant article (FK)</t>
  </si>
  <si>
    <t>Date</t>
  </si>
  <si>
    <t>Semaine représentée par la date du lundi (FK)</t>
  </si>
  <si>
    <t>Quantité de vente prévue aggrégée à la semaine</t>
  </si>
  <si>
    <t>Commandes_EnCours</t>
  </si>
  <si>
    <t>Quantité commandée aggrégée la semaine</t>
  </si>
  <si>
    <t>Stock_S_Encours</t>
  </si>
  <si>
    <t>Stock</t>
  </si>
  <si>
    <t>Quantité actuellement en stock (soit le lundi de la premiere semaine d'analyse)</t>
  </si>
  <si>
    <t>PK : primary key (clé primaire)</t>
  </si>
  <si>
    <t>FK : foreign key (clé étrangère)</t>
  </si>
  <si>
    <t>Cle</t>
  </si>
  <si>
    <t>cle</t>
  </si>
  <si>
    <t>Distance depuis Entrepôt (km)</t>
  </si>
  <si>
    <t>Fournisseur ID</t>
  </si>
  <si>
    <t>Shop ID</t>
  </si>
  <si>
    <t>Distance</t>
  </si>
  <si>
    <t>AFF</t>
  </si>
  <si>
    <t>AV</t>
  </si>
  <si>
    <t>C</t>
  </si>
  <si>
    <t>GV</t>
  </si>
  <si>
    <t>NAV</t>
  </si>
  <si>
    <t>PL</t>
  </si>
  <si>
    <t>PALEX</t>
  </si>
  <si>
    <t>POLE</t>
  </si>
  <si>
    <t>€/km au-delà fixe</t>
  </si>
  <si>
    <t>Fournisseurs-Magasin</t>
  </si>
  <si>
    <t>Identifiant Fournisseur (PK)</t>
  </si>
  <si>
    <t>Identifiant magasin (PK)</t>
  </si>
  <si>
    <t>Distance entre le magasin et l'entrepôt</t>
  </si>
  <si>
    <t>Nom/localisation du magasin</t>
  </si>
  <si>
    <t>Distance entre le magasin et fournisseur</t>
  </si>
  <si>
    <t>Transporteur</t>
  </si>
  <si>
    <t>Transporteur ID</t>
  </si>
  <si>
    <t>Identifiant Transporteur (PK)</t>
  </si>
  <si>
    <t>Prix Fixe €</t>
  </si>
  <si>
    <t>Float</t>
  </si>
  <si>
    <t>Prix fixe en € pour un transport</t>
  </si>
  <si>
    <t>Prix au km en € au-delà du prix fixe</t>
  </si>
  <si>
    <t>SAISIE</t>
  </si>
  <si>
    <t>INFORMATION</t>
  </si>
  <si>
    <t xml:space="preserve">Date </t>
  </si>
  <si>
    <t>Libellé du SKU</t>
  </si>
  <si>
    <t>Famille de produit</t>
  </si>
  <si>
    <t>Nom de la boutique</t>
  </si>
  <si>
    <t>Order Lead Time:
délai de livraison de la commande (en jours)</t>
  </si>
  <si>
    <t>Stock prévisionnel par article</t>
  </si>
  <si>
    <t>COMMANDE À PASSER / PROCHAIN ORDRE PLANIFIÉ</t>
  </si>
  <si>
    <t>DISTRIBUTION RESSOURCE PLANNING</t>
  </si>
  <si>
    <t>Date de passation</t>
  </si>
  <si>
    <t>Date de livraison souhaitée</t>
  </si>
  <si>
    <t>Quantité recommandée</t>
  </si>
  <si>
    <t>Stock Initial</t>
  </si>
  <si>
    <t>Stock projeté</t>
  </si>
  <si>
    <t>Rupture prévisionnelle</t>
  </si>
  <si>
    <t>Couverture de Stock</t>
  </si>
  <si>
    <t>Demande prévisionnelle</t>
  </si>
  <si>
    <t>Ordre Ferme</t>
  </si>
  <si>
    <t xml:space="preserve">Besoin Net </t>
  </si>
  <si>
    <t>Couverture moyenne</t>
  </si>
  <si>
    <t>Variation du stock</t>
  </si>
  <si>
    <r>
      <rPr>
        <b/>
        <sz val="18"/>
        <color theme="1"/>
        <rFont val="Calibri"/>
      </rPr>
      <t xml:space="preserve">Encadré principal: informations importantes </t>
    </r>
    <r>
      <rPr>
        <sz val="11"/>
        <color theme="1"/>
        <rFont val="Calibri"/>
      </rPr>
      <t xml:space="preserve">
</t>
    </r>
    <r>
      <rPr>
        <sz val="13"/>
        <color theme="1"/>
        <rFont val="Calibri"/>
      </rPr>
      <t>-</t>
    </r>
    <r>
      <rPr>
        <b/>
        <sz val="13"/>
        <color theme="1"/>
        <rFont val="Calibri"/>
      </rPr>
      <t>Le stock initial</t>
    </r>
    <r>
      <rPr>
        <sz val="13"/>
        <color theme="1"/>
        <rFont val="Calibri"/>
      </rPr>
      <t xml:space="preserve"> correspond au stock de début de la semaine en cours.
-</t>
    </r>
    <r>
      <rPr>
        <b/>
        <sz val="13"/>
        <color theme="1"/>
        <rFont val="Calibri"/>
      </rPr>
      <t>La rupture prévisionnelle</t>
    </r>
    <r>
      <rPr>
        <sz val="13"/>
        <color theme="1"/>
        <rFont val="Calibri"/>
      </rPr>
      <t xml:space="preserve"> correspond à la quantité en rupture. Cela signifie que le stock et les ordres fermes de la semaine ne permettent pas de couvrir les sorties prévues. S’il n’y a pas de rupture, alors la valeur doit afficher 0.
-</t>
    </r>
    <r>
      <rPr>
        <b/>
        <sz val="13"/>
        <color theme="1"/>
        <rFont val="Calibri"/>
      </rPr>
      <t xml:space="preserve">La couverture de stock </t>
    </r>
    <r>
      <rPr>
        <sz val="13"/>
        <color theme="1"/>
        <rFont val="Calibri"/>
      </rPr>
      <t>représente la durée (en nombre de jours) entre la date de l’en-tête de colonne et la prochaine rupture. Cela signifie que si votre stock vous permet de couvrir ⅔ de votre demande hebdomadaire avant de tomber en rupture, il faudra compter ⅔ de semaine dans votre couverture de stock.
-</t>
    </r>
    <r>
      <rPr>
        <b/>
        <sz val="13"/>
        <color theme="1"/>
        <rFont val="Calibri"/>
      </rPr>
      <t>L'ordre ferme</t>
    </r>
    <r>
      <rPr>
        <sz val="13"/>
        <color theme="1"/>
        <rFont val="Calibri"/>
      </rPr>
      <t xml:space="preserve"> correspond aux commandes déjà passées par le service.
-</t>
    </r>
    <r>
      <rPr>
        <b/>
        <sz val="13"/>
        <color theme="1"/>
        <rFont val="Calibri"/>
      </rPr>
      <t xml:space="preserve">Le besoin net </t>
    </r>
    <r>
      <rPr>
        <sz val="13"/>
        <color theme="1"/>
        <rFont val="Calibri"/>
      </rPr>
      <t xml:space="preserve">correspond ici à la rupture prévisionnelle en absolu. C’est la quantité à réceptionner sur la semaine pour ne pas tomber en rupture. Il doit être réintégré dans le calcul du stock projeté de la semaine suivante, au même titre que les ordres fermes. </t>
    </r>
  </si>
  <si>
    <r>
      <t>Riana Mamy</t>
    </r>
    <r>
      <rPr>
        <sz val="10"/>
        <color rgb="FF616161"/>
        <rFont val="Inter"/>
      </rPr>
      <t>13:25</t>
    </r>
  </si>
  <si>
    <t xml:space="preserve">ligne 13 : Stock projeté </t>
  </si>
  <si>
    <r>
      <t>Riana Mamy</t>
    </r>
    <r>
      <rPr>
        <sz val="10"/>
        <color rgb="FF616161"/>
        <rFont val="Inter"/>
      </rPr>
      <t>13:26</t>
    </r>
  </si>
  <si>
    <t>ligne 12 : stock initial</t>
  </si>
  <si>
    <t>ligne 17 : Ordre ferme</t>
  </si>
  <si>
    <t>Riana MamyRiana Mamy13:25</t>
  </si>
  <si>
    <t>Riana MamyRiana Mamy13:26</t>
  </si>
  <si>
    <t xml:space="preserve">ligne 17 : Ordre ferme </t>
  </si>
  <si>
    <r>
      <t>Riana Mamy</t>
    </r>
    <r>
      <rPr>
        <sz val="10"/>
        <color rgb="FF616161"/>
        <rFont val="Inter"/>
      </rPr>
      <t>13:27</t>
    </r>
  </si>
  <si>
    <t xml:space="preserve">ligne 14 : Rupture prévisionnelle </t>
  </si>
  <si>
    <t xml:space="preserve">ligne 16 : Demande prévisionnelle </t>
  </si>
  <si>
    <r>
      <t>Riana Mamy</t>
    </r>
    <r>
      <rPr>
        <sz val="10"/>
        <color rgb="FF616161"/>
        <rFont val="Inter"/>
      </rPr>
      <t>13:28</t>
    </r>
  </si>
  <si>
    <t>formule Couverture de Stock</t>
  </si>
  <si>
    <t>ligne 12</t>
  </si>
  <si>
    <t>ligne13</t>
  </si>
  <si>
    <t>ligne 14</t>
  </si>
  <si>
    <t>ligne 15</t>
  </si>
  <si>
    <t>ligne 16</t>
  </si>
  <si>
    <t>ligne 17</t>
  </si>
  <si>
    <t>ligne 18</t>
  </si>
  <si>
    <t>stock projeté</t>
  </si>
  <si>
    <t>stock initial</t>
  </si>
  <si>
    <t>rupture prévisionnelle</t>
  </si>
  <si>
    <t>couverture de stock</t>
  </si>
  <si>
    <t>demande prévisionnelle</t>
  </si>
  <si>
    <t>ordre ferme</t>
  </si>
  <si>
    <t>besoin net</t>
  </si>
  <si>
    <t>le stock de sécurité (SS)</t>
  </si>
  <si>
    <t>le minimum de commande (MOQ)</t>
  </si>
  <si>
    <t>le stock de sécurité calculé</t>
  </si>
  <si>
    <t>le sous-stock;</t>
  </si>
  <si>
    <t>ordre planifié</t>
  </si>
  <si>
    <t>La référence du fournisseur</t>
  </si>
  <si>
    <t>La distance en Km</t>
  </si>
  <si>
    <t>Le nom du transporteur choisi</t>
  </si>
  <si>
    <t>Le coût associé(€)</t>
  </si>
  <si>
    <r>
      <t>Riana Mamy</t>
    </r>
    <r>
      <rPr>
        <sz val="11"/>
        <color rgb="FF616161"/>
        <rFont val="Inter"/>
      </rPr>
      <t>12:04</t>
    </r>
  </si>
  <si>
    <t xml:space="preserve">Critères d’évaluation de la mission Barre Analyser l'approvisionnement de l'entreprise en produits afin d'optimiser la supply chain Le DRP V1 peut être validé si : ❒ Les encadrés de saisie, d’informations, de passation de commande et l’encadré principal apparaissent sur la même feuille. ❒ Le choix de clé de jointure permet de retrouver les données de l’encadré principal. Exemples de clés de jointure : SKU et Location ID SKU, Location ID et date ❒ Les encadrés sont dynamiques et correspondent au corrigé en fonction du périmètre saisi. ❒ Le calcul du stock projeté correspond au mode de calcul suivant : stock de début (S-1) + ordres fermes (S-1) - demande prévisionnelle S-1 ❒ Le besoin net correspond aux quantités manquantes pour finir la semaine. ❒ La couverture de stock est donnée à la précision “jour”. ❒ La date de passation de commande est calculée à partir de la date de livraison souhaitée et du lead time. L'histogramme et son encadré peuvent être validés si : ❒ L’histogramme est titré et contient une légende. ❒ Le stock initial et le stock projeté apparaissent graphiquement dans un histogramme. ❒ Le stock initial et le stock projeté sont représentés par deux couleurs différentes. ❒ L’histogramme est accompagné d’un encadré indiquant la couverture moyenne et la variation du stock prévue, de manière dynamique. Le DRP V2 peut être validé si : ❒ Les nouvelles informations (stock de sécurité et MOQ) ont été intégrées dans l’encadré d’informations, de façon dynamique. ❒ Le sous-stock a été calculé correctement et correspond au mode de calcul suivant : (stock global + ordres fermes) - (demande prévisionnelle + stock de sécurité calculé) ❒ Le DRP a été modifié afin de baser le calcul du besoin net sur le sous-stock. ❒ La ligne “ordres planifiés” se base sur le besoin net. ❒ Les éléments critiques (rupture et commande hors délais) ont été mis en évidence par des formats conditionnels, et ce de façon dynamique. Exemples de formats conditionnels: gras rouge La V2 de l'histogramme et son encadré peuvent être validés si: ❒ La représentation graphique des données du stock projeté correspond aux modifications effectuées dans la V2 du DRP. ❒ Le calcul de la couverture moyenne et de la variation de stock prévue intègre correctement les modifications de la V2. Analyser les coûts de transport en tenant compte des contraintes afin de recommander des solutions Le DRP V2 avec les coûts de transport peut être validé si : ❒ L’encadré de visualisation du meilleur transporteur est présent sur la feuille principale. ❒ L’encadré de visualisation du meilleur transporteur affiche le nom du transporteur, la distance en Km entre le fournisseur et le magasin et le coût associé. Soutenance Barre Pour ce projet, l’étudiant présentera son travail devant un évaluateur. En tant qu’évaluateur, reprenez les critères d’évaluation présents dans ce guide mentor et vérifiez qu’ils soient tous validés. Si vous avez un doute sur la surutilisation de l’intelligence artificielle dans les livrables, assurez-vous de poser une des questions suivantes à l’étudiant : Comment avez-vous fait pour [partie ou tout d’un livrable]...? Quelle a été la méthodologie suivie pour réaliser [partie ou tout d’un livrable] ? Quelles ont été les différentes étapes que vous avez suivies pour élaborer [partie ou tout d’un livrable] ? Vous pouvez les lui poser durant les 10 min de discussion ou les 5 minutes de débrief de la soutenance. Pour la structure de la soutenance, référez-vous à la section Soutenance du scénario du projet. Pour faciliter votre travail, voici les critères d’évaluation que vous devez vérifier pendant la soutenance, en posant des questions spécifiques à l’étudiant. ❒ L’étudiant est capable d’expliquer le mode de construction des V1 et V2 de son fichier Excel pendant la soutenance. ❒ L’étudiant a identifié et est capable d’expliquer 1 cas de bonne pratique et 2 cas de mauvaises pratiques de passation de commandes. Exemple de bonne pratique de passation de commande: L’ordre ferme a été passé à temps et correspond au besoin : SKU 23393 pour la boutique 1210. Exemples de mauvaises pratiques de passation de commande: Dates de commandes dépassées: SKU 23393 pour les boutiques 1204, 1203 et 1202. Ordre ferme passé en quantité insuffisante: SKU 23393 pour la boutique 1211 Ordre ferme passé sans besoin spécifique, donc surstock: SKU 23393 pour le site 1208 Pour les étudiants les plus à l’aise, vous pouvez également poser des questions afin de creuser certains points. Attention, ces questions ne peuvent pas justifier d’un refus de la soutenance : Comment interprétez-vous l’impact des MOQ sur la couverture de stock ? (ex : il augmente la couverture de stock au moment de la réception si le besoin initial était inférieur au MOQ). À votre avis, lorsque plusieurs besoins nets se succèdent, que pourrait faire l’approvisionneur lors de sa passation de commande ? (ex : consolider les besoins dans une seule commande / ordre planifié) : Quelle est la conséquence ? (ex : augmenter le niveau de stock à réception, mais peut permettre potentiellement d’optimiser le transport et de réduire le nombre de réception en boutique). Une soutenance mérite un refus dans les cas suivants : Critères d’évaluation non validés pour une ou plusieurs compétences. Plagiat (veillez à poser des questions méthodologiques ou sur le raisonnement de la solution pour vous assurer que le travail a bien été réalisé par l’étudiant). Une présentation en dessous de 10 minutes ou au-dessus de 20 minutes. Néanmoins, une tolérance de +/- 20 % est permise, selon les cas. </t>
  </si>
  <si>
    <t>Votre message</t>
  </si>
  <si>
    <r>
      <t>Riana Mamy</t>
    </r>
    <r>
      <rPr>
        <sz val="10"/>
        <color rgb="FF616161"/>
        <rFont val="Inter"/>
      </rPr>
      <t>12:26</t>
    </r>
  </si>
  <si>
    <t>[@[Prix Fixe €]]+[@[€/km au-delà fixe]]*'DashboardStock 2'!$C$16</t>
  </si>
  <si>
    <t>Colonne1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</si>
</sst>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m/d/yyyy"/>
  </numFmts>
  <fonts count="30">
    <font>
      <sz val="11"/>
      <color theme="1"/>
      <name val="Calibri"/>
      <scheme val="minor"/>
    </font>
    <font>
      <sz val="11"/>
      <color theme="1"/>
      <name val="Calibri"/>
      <family val="2"/>
      <scheme val="minor"/>
    </font>
    <font>
      <b/>
      <sz val="9"/>
      <color rgb="FFFFFFFF"/>
      <name val="Arial"/>
      <family val="2"/>
    </font>
    <font>
      <sz val="9"/>
      <color rgb="FF000000"/>
      <name val="Arial"/>
      <family val="2"/>
    </font>
    <font>
      <sz val="11"/>
      <color theme="1"/>
      <name val="Calibri"/>
      <family val="2"/>
      <scheme val="minor"/>
    </font>
    <font>
      <sz val="11"/>
      <color theme="1"/>
      <name val="Calibri"/>
      <family val="2"/>
    </font>
    <font>
      <sz val="11"/>
      <color rgb="FF000000"/>
      <name val="Calibri"/>
      <family val="2"/>
    </font>
    <font>
      <b/>
      <sz val="11"/>
      <color theme="1"/>
      <name val="Calibri"/>
      <family val="2"/>
    </font>
    <font>
      <sz val="11"/>
      <color rgb="FF000000"/>
      <name val="Arial"/>
      <family val="2"/>
    </font>
    <font>
      <sz val="12"/>
      <color rgb="FF000000"/>
      <name val="Arial"/>
      <family val="2"/>
    </font>
    <font>
      <sz val="11"/>
      <color theme="1"/>
      <name val="Arial"/>
      <family val="2"/>
    </font>
    <font>
      <b/>
      <sz val="9"/>
      <color theme="1"/>
      <name val="Arial"/>
      <family val="2"/>
    </font>
    <font>
      <i/>
      <sz val="11"/>
      <color theme="1"/>
      <name val="Calibri"/>
      <family val="2"/>
    </font>
    <font>
      <sz val="10"/>
      <color rgb="FF000000"/>
      <name val="Calibri"/>
      <family val="2"/>
      <scheme val="minor"/>
    </font>
    <font>
      <sz val="11"/>
      <color theme="1"/>
      <name val="Calibri"/>
      <family val="2"/>
      <scheme val="minor"/>
    </font>
    <font>
      <b/>
      <sz val="11"/>
      <color theme="1"/>
      <name val="Calibri"/>
    </font>
    <font>
      <sz val="11"/>
      <name val="Calibri"/>
    </font>
    <font>
      <sz val="11"/>
      <color theme="1"/>
      <name val="Calibri"/>
    </font>
    <font>
      <sz val="26"/>
      <color theme="0"/>
      <name val="Calibri"/>
    </font>
    <font>
      <b/>
      <sz val="11"/>
      <color theme="0"/>
      <name val="Calibri"/>
    </font>
    <font>
      <b/>
      <sz val="18"/>
      <color theme="1"/>
      <name val="Calibri"/>
    </font>
    <font>
      <sz val="13"/>
      <color theme="1"/>
      <name val="Calibri"/>
    </font>
    <font>
      <b/>
      <sz val="13"/>
      <color theme="1"/>
      <name val="Calibri"/>
    </font>
    <font>
      <sz val="10"/>
      <color rgb="FF271A38"/>
      <name val="Inter"/>
    </font>
    <font>
      <b/>
      <sz val="10"/>
      <color rgb="FF863C2D"/>
      <name val="Inter"/>
    </font>
    <font>
      <sz val="10"/>
      <color rgb="FF616161"/>
      <name val="Inter"/>
    </font>
    <font>
      <sz val="8"/>
      <name val="Calibri"/>
      <scheme val="minor"/>
    </font>
    <font>
      <b/>
      <sz val="11"/>
      <color rgb="FF863C2D"/>
      <name val="Inter"/>
    </font>
    <font>
      <sz val="11"/>
      <color rgb="FF616161"/>
      <name val="Inter"/>
    </font>
    <font>
      <sz val="11"/>
      <color rgb="FF271A38"/>
      <name val="Inter"/>
    </font>
  </fonts>
  <fills count="22">
    <fill>
      <patternFill patternType="none"/>
    </fill>
    <fill>
      <patternFill patternType="gray125"/>
    </fill>
    <fill>
      <patternFill patternType="solid">
        <fgColor rgb="FF5175B9"/>
        <bgColor rgb="FF5175B9"/>
      </patternFill>
    </fill>
    <fill>
      <patternFill patternType="solid">
        <fgColor theme="9"/>
        <bgColor theme="9"/>
      </patternFill>
    </fill>
    <fill>
      <patternFill patternType="solid">
        <fgColor rgb="FFF0F0F4"/>
        <bgColor rgb="FFF0F0F4"/>
      </patternFill>
    </fill>
    <fill>
      <patternFill patternType="solid">
        <fgColor rgb="FFFFFFFF"/>
        <bgColor rgb="FFFFFFFF"/>
      </patternFill>
    </fill>
    <fill>
      <patternFill patternType="solid">
        <fgColor rgb="FFC0C0C0"/>
        <bgColor rgb="FFC0C0C0"/>
      </patternFill>
    </fill>
    <fill>
      <patternFill patternType="solid">
        <fgColor rgb="FFA8D08D"/>
        <bgColor rgb="FFA8D08D"/>
      </patternFill>
    </fill>
    <fill>
      <patternFill patternType="solid">
        <fgColor rgb="FFFEF2CB"/>
        <bgColor rgb="FFFEF2CB"/>
      </patternFill>
    </fill>
    <fill>
      <patternFill patternType="solid">
        <fgColor theme="0"/>
        <bgColor theme="0"/>
      </patternFill>
    </fill>
    <fill>
      <patternFill patternType="solid">
        <fgColor rgb="FFD9E2F3"/>
        <bgColor rgb="FFD9E2F3"/>
      </patternFill>
    </fill>
    <fill>
      <patternFill patternType="solid">
        <fgColor rgb="FFFFE598"/>
        <bgColor rgb="FFFFE598"/>
      </patternFill>
    </fill>
    <fill>
      <patternFill patternType="solid">
        <fgColor rgb="FFFFF4D1"/>
        <bgColor rgb="FFFFF4D1"/>
      </patternFill>
    </fill>
    <fill>
      <patternFill patternType="solid">
        <fgColor rgb="FF1F3864"/>
        <bgColor rgb="FF1F3864"/>
      </patternFill>
    </fill>
    <fill>
      <patternFill patternType="solid">
        <fgColor rgb="FFE1F8FF"/>
        <bgColor rgb="FFE1F8FF"/>
      </patternFill>
    </fill>
    <fill>
      <patternFill patternType="solid">
        <fgColor rgb="FF8EAADB"/>
        <bgColor rgb="FF8EAADB"/>
      </patternFill>
    </fill>
    <fill>
      <patternFill patternType="solid">
        <fgColor rgb="FF9CC2E5"/>
        <bgColor rgb="FF9CC2E5"/>
      </patternFill>
    </fill>
    <fill>
      <patternFill patternType="solid">
        <fgColor rgb="FF2E75B5"/>
        <bgColor rgb="FF2E75B5"/>
      </patternFill>
    </fill>
    <fill>
      <patternFill patternType="solid">
        <fgColor rgb="FFB4C6E7"/>
        <bgColor rgb="FFB4C6E7"/>
      </patternFill>
    </fill>
    <fill>
      <patternFill patternType="solid">
        <fgColor rgb="FFDEEAF6"/>
        <bgColor rgb="FFDEEAF6"/>
      </patternFill>
    </fill>
    <fill>
      <patternFill patternType="solid">
        <fgColor rgb="FFE2EFD9"/>
        <bgColor rgb="FFE2EFD9"/>
      </patternFill>
    </fill>
    <fill>
      <patternFill patternType="solid">
        <fgColor rgb="FFFFFFFF"/>
        <bgColor indexed="64"/>
      </patternFill>
    </fill>
  </fills>
  <borders count="65">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bottom style="thin">
        <color rgb="FF9CC2E5"/>
      </bottom>
      <diagonal/>
    </border>
    <border>
      <left/>
      <right/>
      <top style="thin">
        <color rgb="FFCACAD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CACAD9"/>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CACAD9"/>
      </top>
      <bottom style="thin">
        <color rgb="FFCACAD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CACAD9"/>
      </top>
      <bottom style="thin">
        <color rgb="FF000000"/>
      </bottom>
      <diagonal/>
    </border>
    <border>
      <left style="thin">
        <color rgb="FF000000"/>
      </left>
      <right style="thin">
        <color rgb="FF000000"/>
      </right>
      <top style="thin">
        <color rgb="FF000000"/>
      </top>
      <bottom style="thin">
        <color rgb="FFCACAD9"/>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CACAD9"/>
      </top>
      <bottom style="thin">
        <color rgb="FFCACAD9"/>
      </bottom>
      <diagonal/>
    </border>
    <border>
      <left style="thin">
        <color rgb="FF000000"/>
      </left>
      <right style="thin">
        <color rgb="FF000000"/>
      </right>
      <top style="thin">
        <color rgb="FFCACAD9"/>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diagonal/>
    </border>
    <border>
      <left/>
      <right style="thin">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style="thin">
        <color theme="4" tint="0.39997558519241921"/>
      </left>
      <right/>
      <top style="medium">
        <color rgb="FF000000"/>
      </top>
      <bottom style="medium">
        <color rgb="FF000000"/>
      </bottom>
      <diagonal/>
    </border>
    <border>
      <left style="medium">
        <color rgb="FFEEEEEE"/>
      </left>
      <right style="medium">
        <color rgb="FFEEEEEE"/>
      </right>
      <top style="medium">
        <color rgb="FFEEEEEE"/>
      </top>
      <bottom/>
      <diagonal/>
    </border>
  </borders>
  <cellStyleXfs count="3">
    <xf numFmtId="0" fontId="0" fillId="0" borderId="0"/>
    <xf numFmtId="0" fontId="13" fillId="0" borderId="22"/>
    <xf numFmtId="44" fontId="14" fillId="0" borderId="0" applyFont="0" applyFill="0" applyBorder="0" applyAlignment="0" applyProtection="0"/>
  </cellStyleXfs>
  <cellXfs count="145">
    <xf numFmtId="0" fontId="0" fillId="0" borderId="0" xfId="0"/>
    <xf numFmtId="49" fontId="2" fillId="2" borderId="1" xfId="0" applyNumberFormat="1" applyFont="1" applyFill="1" applyBorder="1" applyAlignment="1">
      <alignment horizontal="left" shrinkToFit="1"/>
    </xf>
    <xf numFmtId="49" fontId="2" fillId="3" borderId="2" xfId="0" applyNumberFormat="1" applyFont="1" applyFill="1" applyBorder="1" applyAlignment="1">
      <alignment horizontal="left" shrinkToFit="1"/>
    </xf>
    <xf numFmtId="0" fontId="3" fillId="4" borderId="3" xfId="0" applyFont="1" applyFill="1" applyBorder="1" applyAlignment="1">
      <alignment horizontal="right" shrinkToFit="1"/>
    </xf>
    <xf numFmtId="0" fontId="4" fillId="0" borderId="0" xfId="0" applyFont="1"/>
    <xf numFmtId="0" fontId="5" fillId="0" borderId="0" xfId="0" applyFont="1"/>
    <xf numFmtId="0" fontId="3" fillId="5" borderId="3" xfId="0" applyFont="1" applyFill="1" applyBorder="1" applyAlignment="1">
      <alignment horizontal="right" shrinkToFit="1"/>
    </xf>
    <xf numFmtId="0" fontId="6" fillId="6" borderId="4" xfId="0" applyFont="1" applyFill="1" applyBorder="1" applyAlignment="1">
      <alignment horizontal="center"/>
    </xf>
    <xf numFmtId="0" fontId="6" fillId="0" borderId="5" xfId="0" applyFont="1" applyBorder="1" applyAlignment="1">
      <alignment horizontal="right" wrapText="1"/>
    </xf>
    <xf numFmtId="0" fontId="6" fillId="0" borderId="5" xfId="0" applyFont="1" applyBorder="1" applyAlignment="1">
      <alignment wrapText="1"/>
    </xf>
    <xf numFmtId="49" fontId="2" fillId="2" borderId="1" xfId="0" applyNumberFormat="1" applyFont="1" applyFill="1" applyBorder="1" applyAlignment="1">
      <alignment horizontal="center" vertical="center" shrinkToFit="1"/>
    </xf>
    <xf numFmtId="2" fontId="2" fillId="2" borderId="1" xfId="0" applyNumberFormat="1" applyFont="1" applyFill="1" applyBorder="1" applyAlignment="1">
      <alignment horizontal="left" vertical="center" shrinkToFit="1"/>
    </xf>
    <xf numFmtId="0" fontId="5" fillId="0" borderId="0" xfId="0" applyFont="1" applyAlignment="1">
      <alignment vertical="center" wrapText="1"/>
    </xf>
    <xf numFmtId="0" fontId="7" fillId="0" borderId="0" xfId="0" applyFont="1"/>
    <xf numFmtId="14" fontId="5" fillId="0" borderId="0" xfId="0" applyNumberFormat="1" applyFont="1"/>
    <xf numFmtId="1" fontId="5" fillId="0" borderId="0" xfId="0" applyNumberFormat="1" applyFont="1"/>
    <xf numFmtId="0" fontId="7" fillId="0" borderId="6" xfId="0" applyFont="1" applyBorder="1"/>
    <xf numFmtId="14" fontId="5" fillId="0" borderId="0" xfId="0" applyNumberFormat="1" applyFont="1" applyAlignment="1">
      <alignment horizontal="left"/>
    </xf>
    <xf numFmtId="49" fontId="2" fillId="7" borderId="1" xfId="0" applyNumberFormat="1" applyFont="1" applyFill="1" applyBorder="1" applyAlignment="1">
      <alignment horizontal="center" vertical="center" shrinkToFit="1"/>
    </xf>
    <xf numFmtId="0" fontId="5" fillId="0" borderId="7" xfId="0" applyFont="1" applyBorder="1" applyAlignment="1">
      <alignment horizontal="right"/>
    </xf>
    <xf numFmtId="164" fontId="5" fillId="0" borderId="7" xfId="0" applyNumberFormat="1" applyFont="1" applyBorder="1" applyAlignment="1">
      <alignment horizontal="right"/>
    </xf>
    <xf numFmtId="0" fontId="5" fillId="0" borderId="0" xfId="0" applyFont="1" applyAlignment="1">
      <alignment horizontal="right"/>
    </xf>
    <xf numFmtId="164" fontId="5" fillId="0" borderId="0" xfId="0" applyNumberFormat="1" applyFont="1" applyAlignment="1">
      <alignment horizontal="right"/>
    </xf>
    <xf numFmtId="0" fontId="8" fillId="0" borderId="0" xfId="0" applyFont="1" applyAlignment="1">
      <alignment horizontal="left" vertical="center"/>
    </xf>
    <xf numFmtId="0" fontId="9" fillId="0" borderId="0" xfId="0" applyFont="1"/>
    <xf numFmtId="0" fontId="10" fillId="8" borderId="8" xfId="0" applyFont="1" applyFill="1" applyBorder="1" applyAlignment="1">
      <alignment horizontal="left" vertical="center"/>
    </xf>
    <xf numFmtId="0" fontId="5" fillId="8" borderId="9" xfId="0" applyFont="1" applyFill="1" applyBorder="1"/>
    <xf numFmtId="0" fontId="5" fillId="8" borderId="10" xfId="0" applyFont="1" applyFill="1" applyBorder="1"/>
    <xf numFmtId="0" fontId="10" fillId="8" borderId="11" xfId="0" applyFont="1" applyFill="1" applyBorder="1" applyAlignment="1">
      <alignment horizontal="left" vertical="center"/>
    </xf>
    <xf numFmtId="0" fontId="5" fillId="8" borderId="4" xfId="0" applyFont="1" applyFill="1" applyBorder="1"/>
    <xf numFmtId="0" fontId="5" fillId="8" borderId="12" xfId="0" applyFont="1" applyFill="1" applyBorder="1"/>
    <xf numFmtId="49" fontId="11" fillId="8" borderId="13" xfId="0" applyNumberFormat="1" applyFont="1" applyFill="1" applyBorder="1" applyAlignment="1">
      <alignment horizontal="left" shrinkToFit="1"/>
    </xf>
    <xf numFmtId="0" fontId="5" fillId="9" borderId="14" xfId="0" applyFont="1" applyFill="1" applyBorder="1"/>
    <xf numFmtId="0" fontId="5" fillId="9" borderId="15" xfId="0" applyFont="1" applyFill="1" applyBorder="1"/>
    <xf numFmtId="49" fontId="11" fillId="8" borderId="16" xfId="0" applyNumberFormat="1" applyFont="1" applyFill="1" applyBorder="1" applyAlignment="1">
      <alignment horizontal="left" shrinkToFit="1"/>
    </xf>
    <xf numFmtId="49" fontId="11" fillId="8" borderId="17" xfId="0" applyNumberFormat="1" applyFont="1" applyFill="1" applyBorder="1" applyAlignment="1">
      <alignment horizontal="left" shrinkToFit="1"/>
    </xf>
    <xf numFmtId="0" fontId="5" fillId="9" borderId="18" xfId="0" applyFont="1" applyFill="1" applyBorder="1"/>
    <xf numFmtId="0" fontId="5" fillId="9" borderId="19" xfId="0" applyFont="1" applyFill="1" applyBorder="1"/>
    <xf numFmtId="49" fontId="11" fillId="8" borderId="20" xfId="0" applyNumberFormat="1" applyFont="1" applyFill="1" applyBorder="1" applyAlignment="1">
      <alignment horizontal="left" shrinkToFit="1"/>
    </xf>
    <xf numFmtId="0" fontId="10" fillId="10" borderId="8" xfId="0" applyFont="1" applyFill="1" applyBorder="1" applyAlignment="1">
      <alignment horizontal="left" vertical="center"/>
    </xf>
    <xf numFmtId="0" fontId="5" fillId="10" borderId="9" xfId="0" applyFont="1" applyFill="1" applyBorder="1"/>
    <xf numFmtId="0" fontId="5" fillId="10" borderId="10" xfId="0" applyFont="1" applyFill="1" applyBorder="1"/>
    <xf numFmtId="0" fontId="10" fillId="10" borderId="11" xfId="0" applyFont="1" applyFill="1" applyBorder="1" applyAlignment="1">
      <alignment horizontal="left" vertical="center"/>
    </xf>
    <xf numFmtId="0" fontId="5" fillId="10" borderId="4" xfId="0" applyFont="1" applyFill="1" applyBorder="1"/>
    <xf numFmtId="0" fontId="5" fillId="10" borderId="12" xfId="0" applyFont="1" applyFill="1" applyBorder="1"/>
    <xf numFmtId="49" fontId="11" fillId="10" borderId="13" xfId="0" applyNumberFormat="1" applyFont="1" applyFill="1" applyBorder="1" applyAlignment="1">
      <alignment horizontal="left" shrinkToFit="1"/>
    </xf>
    <xf numFmtId="49" fontId="11" fillId="10" borderId="16" xfId="0" applyNumberFormat="1" applyFont="1" applyFill="1" applyBorder="1" applyAlignment="1">
      <alignment horizontal="left" shrinkToFit="1"/>
    </xf>
    <xf numFmtId="49" fontId="11" fillId="10" borderId="20" xfId="0" applyNumberFormat="1" applyFont="1" applyFill="1" applyBorder="1" applyAlignment="1">
      <alignment horizontal="left" shrinkToFit="1"/>
    </xf>
    <xf numFmtId="49" fontId="11" fillId="10" borderId="21" xfId="0" applyNumberFormat="1" applyFont="1" applyFill="1" applyBorder="1" applyAlignment="1">
      <alignment horizontal="left" shrinkToFit="1"/>
    </xf>
    <xf numFmtId="0" fontId="5" fillId="9" borderId="22" xfId="0" applyFont="1" applyFill="1" applyBorder="1"/>
    <xf numFmtId="0" fontId="5" fillId="9" borderId="23" xfId="0" applyFont="1" applyFill="1" applyBorder="1"/>
    <xf numFmtId="49" fontId="11" fillId="10" borderId="24" xfId="0" applyNumberFormat="1" applyFont="1" applyFill="1" applyBorder="1" applyAlignment="1">
      <alignment horizontal="left" shrinkToFit="1"/>
    </xf>
    <xf numFmtId="49" fontId="11" fillId="10" borderId="25" xfId="0" applyNumberFormat="1" applyFont="1" applyFill="1" applyBorder="1" applyAlignment="1">
      <alignment horizontal="left" shrinkToFit="1"/>
    </xf>
    <xf numFmtId="0" fontId="5" fillId="0" borderId="26" xfId="0" applyFont="1" applyBorder="1"/>
    <xf numFmtId="0" fontId="5" fillId="0" borderId="27" xfId="0" applyFont="1" applyBorder="1"/>
    <xf numFmtId="0" fontId="12" fillId="0" borderId="0" xfId="0" applyFont="1"/>
    <xf numFmtId="49" fontId="2" fillId="7" borderId="2" xfId="0" applyNumberFormat="1" applyFont="1" applyFill="1" applyBorder="1" applyAlignment="1">
      <alignment horizontal="center" vertical="center" shrinkToFit="1"/>
    </xf>
    <xf numFmtId="49" fontId="11" fillId="8" borderId="28" xfId="0" applyNumberFormat="1" applyFont="1" applyFill="1" applyBorder="1" applyAlignment="1">
      <alignment horizontal="left" shrinkToFit="1"/>
    </xf>
    <xf numFmtId="49" fontId="2" fillId="2" borderId="2" xfId="0" applyNumberFormat="1" applyFont="1" applyFill="1" applyBorder="1" applyAlignment="1">
      <alignment horizontal="left" shrinkToFit="1"/>
    </xf>
    <xf numFmtId="0" fontId="5" fillId="9" borderId="29" xfId="0" applyFont="1" applyFill="1" applyBorder="1"/>
    <xf numFmtId="44" fontId="14" fillId="0" borderId="22" xfId="2" applyBorder="1"/>
    <xf numFmtId="0" fontId="17" fillId="8" borderId="22" xfId="0" applyFont="1" applyFill="1" applyBorder="1"/>
    <xf numFmtId="0" fontId="17" fillId="11" borderId="33" xfId="0" applyFont="1" applyFill="1" applyBorder="1" applyAlignment="1">
      <alignment horizontal="center" vertical="center"/>
    </xf>
    <xf numFmtId="0" fontId="17" fillId="11" borderId="32" xfId="0" applyFont="1" applyFill="1" applyBorder="1" applyAlignment="1">
      <alignment horizontal="center" vertical="center"/>
    </xf>
    <xf numFmtId="0" fontId="17" fillId="8" borderId="22" xfId="0" applyFont="1" applyFill="1" applyBorder="1" applyAlignment="1">
      <alignment wrapText="1"/>
    </xf>
    <xf numFmtId="0" fontId="17" fillId="12" borderId="34" xfId="0" applyFont="1" applyFill="1" applyBorder="1" applyAlignment="1">
      <alignment horizontal="center" vertical="center" wrapText="1"/>
    </xf>
    <xf numFmtId="0" fontId="17" fillId="12" borderId="26" xfId="0" applyFont="1" applyFill="1" applyBorder="1" applyAlignment="1">
      <alignment horizontal="center" vertical="center" wrapText="1"/>
    </xf>
    <xf numFmtId="0" fontId="17" fillId="12" borderId="35" xfId="0" applyFont="1" applyFill="1" applyBorder="1" applyAlignment="1">
      <alignment horizontal="center" vertical="center" wrapText="1"/>
    </xf>
    <xf numFmtId="0" fontId="17" fillId="9" borderId="36" xfId="0" applyFont="1" applyFill="1" applyBorder="1" applyAlignment="1">
      <alignment horizontal="center" vertical="center" wrapText="1"/>
    </xf>
    <xf numFmtId="0" fontId="17" fillId="9" borderId="37" xfId="0" applyFont="1" applyFill="1" applyBorder="1" applyAlignment="1">
      <alignment horizontal="center" vertical="center" wrapText="1"/>
    </xf>
    <xf numFmtId="0" fontId="17" fillId="9" borderId="38" xfId="0" applyFont="1" applyFill="1" applyBorder="1" applyAlignment="1">
      <alignment horizontal="center" vertical="center" wrapText="1"/>
    </xf>
    <xf numFmtId="0" fontId="17" fillId="8" borderId="22" xfId="0" applyFont="1" applyFill="1" applyBorder="1" applyAlignment="1">
      <alignment horizontal="center"/>
    </xf>
    <xf numFmtId="0" fontId="17" fillId="8" borderId="22" xfId="0" applyFont="1" applyFill="1" applyBorder="1" applyAlignment="1">
      <alignment horizontal="center" wrapText="1"/>
    </xf>
    <xf numFmtId="0" fontId="17" fillId="14" borderId="22" xfId="0" applyFont="1" applyFill="1" applyBorder="1"/>
    <xf numFmtId="0" fontId="17" fillId="14" borderId="22" xfId="0" applyFont="1" applyFill="1" applyBorder="1" applyAlignment="1">
      <alignment horizontal="center"/>
    </xf>
    <xf numFmtId="0" fontId="17" fillId="16" borderId="40" xfId="0" applyFont="1" applyFill="1" applyBorder="1" applyAlignment="1">
      <alignment vertical="center"/>
    </xf>
    <xf numFmtId="0" fontId="17" fillId="16" borderId="41" xfId="0" applyFont="1" applyFill="1" applyBorder="1" applyAlignment="1">
      <alignment vertical="center"/>
    </xf>
    <xf numFmtId="0" fontId="19" fillId="17" borderId="30" xfId="0" applyFont="1" applyFill="1" applyBorder="1" applyAlignment="1">
      <alignment horizontal="center" vertical="center" wrapText="1"/>
    </xf>
    <xf numFmtId="0" fontId="19" fillId="17" borderId="48" xfId="0" applyFont="1" applyFill="1" applyBorder="1" applyAlignment="1">
      <alignment horizontal="center" vertical="center" wrapText="1"/>
    </xf>
    <xf numFmtId="0" fontId="19" fillId="17" borderId="49" xfId="0" applyFont="1" applyFill="1" applyBorder="1" applyAlignment="1">
      <alignment horizontal="center" vertical="center" wrapText="1"/>
    </xf>
    <xf numFmtId="14" fontId="17" fillId="16" borderId="22" xfId="0" applyNumberFormat="1" applyFont="1" applyFill="1" applyBorder="1" applyAlignment="1">
      <alignment horizontal="center" vertical="center"/>
    </xf>
    <xf numFmtId="14" fontId="17" fillId="18" borderId="44" xfId="0" applyNumberFormat="1" applyFont="1" applyFill="1" applyBorder="1" applyAlignment="1">
      <alignment horizontal="center" vertical="center"/>
    </xf>
    <xf numFmtId="14" fontId="17" fillId="18" borderId="50" xfId="0" applyNumberFormat="1" applyFont="1" applyFill="1" applyBorder="1" applyAlignment="1">
      <alignment horizontal="center" vertical="center"/>
    </xf>
    <xf numFmtId="1" fontId="17" fillId="18" borderId="46" xfId="0" applyNumberFormat="1" applyFont="1" applyFill="1" applyBorder="1" applyAlignment="1">
      <alignment horizontal="center" vertical="center"/>
    </xf>
    <xf numFmtId="0" fontId="17" fillId="16" borderId="39" xfId="0" applyFont="1" applyFill="1" applyBorder="1"/>
    <xf numFmtId="0" fontId="17" fillId="16" borderId="47" xfId="0" applyFont="1" applyFill="1" applyBorder="1"/>
    <xf numFmtId="1" fontId="15" fillId="19" borderId="47" xfId="0" applyNumberFormat="1" applyFont="1" applyFill="1" applyBorder="1" applyAlignment="1">
      <alignment horizontal="center"/>
    </xf>
    <xf numFmtId="0" fontId="17" fillId="16" borderId="42" xfId="0" applyFont="1" applyFill="1" applyBorder="1"/>
    <xf numFmtId="0" fontId="17" fillId="16" borderId="15" xfId="0" applyFont="1" applyFill="1" applyBorder="1"/>
    <xf numFmtId="1" fontId="17" fillId="19" borderId="15" xfId="0" applyNumberFormat="1" applyFont="1" applyFill="1" applyBorder="1" applyAlignment="1">
      <alignment horizontal="center"/>
    </xf>
    <xf numFmtId="1" fontId="17" fillId="19" borderId="14" xfId="0" applyNumberFormat="1" applyFont="1" applyFill="1" applyBorder="1" applyAlignment="1">
      <alignment horizontal="center"/>
    </xf>
    <xf numFmtId="1" fontId="17" fillId="19" borderId="51" xfId="0" applyNumberFormat="1" applyFont="1" applyFill="1" applyBorder="1" applyAlignment="1">
      <alignment horizontal="center"/>
    </xf>
    <xf numFmtId="0" fontId="15" fillId="15" borderId="44" xfId="0" applyFont="1" applyFill="1" applyBorder="1" applyAlignment="1">
      <alignment vertical="center"/>
    </xf>
    <xf numFmtId="0" fontId="15" fillId="15" borderId="52" xfId="0" applyFont="1" applyFill="1" applyBorder="1" applyAlignment="1">
      <alignment vertical="center"/>
    </xf>
    <xf numFmtId="1" fontId="15" fillId="19" borderId="52" xfId="0" applyNumberFormat="1" applyFont="1" applyFill="1" applyBorder="1" applyAlignment="1">
      <alignment horizontal="center" vertical="center"/>
    </xf>
    <xf numFmtId="1" fontId="15" fillId="19" borderId="46" xfId="0" applyNumberFormat="1" applyFont="1" applyFill="1" applyBorder="1" applyAlignment="1">
      <alignment horizontal="center" vertical="center"/>
    </xf>
    <xf numFmtId="1" fontId="17" fillId="20" borderId="32" xfId="0" applyNumberFormat="1" applyFont="1" applyFill="1" applyBorder="1" applyAlignment="1">
      <alignment horizontal="center" vertical="center"/>
    </xf>
    <xf numFmtId="9" fontId="17" fillId="20" borderId="32" xfId="0" applyNumberFormat="1" applyFont="1" applyFill="1" applyBorder="1" applyAlignment="1">
      <alignment horizontal="center" vertical="center"/>
    </xf>
    <xf numFmtId="14" fontId="17" fillId="14" borderId="22" xfId="0" applyNumberFormat="1" applyFont="1" applyFill="1" applyBorder="1"/>
    <xf numFmtId="0" fontId="17" fillId="0" borderId="0" xfId="0" applyFont="1"/>
    <xf numFmtId="0" fontId="17" fillId="0" borderId="0" xfId="0" applyFont="1" applyAlignment="1">
      <alignment horizontal="center"/>
    </xf>
    <xf numFmtId="0" fontId="23" fillId="0" borderId="0" xfId="0" applyFont="1" applyAlignment="1">
      <alignment vertical="center" wrapText="1"/>
    </xf>
    <xf numFmtId="0" fontId="24" fillId="0" borderId="0" xfId="0" applyFont="1" applyAlignment="1">
      <alignment vertical="center" wrapText="1"/>
    </xf>
    <xf numFmtId="0" fontId="23" fillId="21" borderId="0" xfId="0" applyFont="1" applyFill="1" applyAlignment="1">
      <alignment vertical="center" wrapText="1"/>
    </xf>
    <xf numFmtId="0" fontId="23" fillId="0" borderId="0" xfId="0" applyFont="1"/>
    <xf numFmtId="0" fontId="19" fillId="17" borderId="61" xfId="0" applyFont="1" applyFill="1" applyBorder="1" applyAlignment="1">
      <alignment horizontal="center" vertical="center" wrapText="1"/>
    </xf>
    <xf numFmtId="0" fontId="19" fillId="17" borderId="39" xfId="0" applyFont="1" applyFill="1" applyBorder="1" applyAlignment="1">
      <alignment horizontal="center" vertical="center" wrapText="1"/>
    </xf>
    <xf numFmtId="0" fontId="19" fillId="17" borderId="62" xfId="0" applyFont="1" applyFill="1" applyBorder="1" applyAlignment="1">
      <alignment horizontal="center" vertical="center" wrapText="1"/>
    </xf>
    <xf numFmtId="1" fontId="17" fillId="20" borderId="30" xfId="0" applyNumberFormat="1" applyFont="1" applyFill="1" applyBorder="1" applyAlignment="1">
      <alignment horizontal="center" vertical="center"/>
    </xf>
    <xf numFmtId="1" fontId="17" fillId="20" borderId="33" xfId="0" applyNumberFormat="1" applyFont="1" applyFill="1" applyBorder="1" applyAlignment="1">
      <alignment horizontal="center" vertical="center"/>
    </xf>
    <xf numFmtId="0" fontId="17" fillId="20" borderId="63" xfId="0" applyFont="1" applyFill="1" applyBorder="1" applyAlignment="1">
      <alignment horizontal="center" vertical="center"/>
    </xf>
    <xf numFmtId="0" fontId="27" fillId="0" borderId="0" xfId="0" applyFont="1"/>
    <xf numFmtId="0" fontId="1" fillId="21" borderId="0" xfId="0" applyFont="1" applyFill="1" applyAlignment="1">
      <alignment vertical="center"/>
    </xf>
    <xf numFmtId="0" fontId="1" fillId="0" borderId="0" xfId="0" applyFont="1" applyAlignment="1">
      <alignment vertical="top"/>
    </xf>
    <xf numFmtId="0" fontId="29" fillId="0" borderId="64" xfId="0" applyFont="1" applyBorder="1" applyAlignment="1">
      <alignment horizontal="left" vertical="center" indent="1"/>
    </xf>
    <xf numFmtId="44" fontId="0" fillId="0" borderId="0" xfId="0" applyNumberFormat="1"/>
    <xf numFmtId="0" fontId="15" fillId="16" borderId="39" xfId="0" applyFont="1" applyFill="1" applyBorder="1" applyAlignment="1">
      <alignment horizontal="center" vertical="center"/>
    </xf>
    <xf numFmtId="0" fontId="16" fillId="0" borderId="47" xfId="0" applyFont="1" applyBorder="1"/>
    <xf numFmtId="0" fontId="16" fillId="0" borderId="42" xfId="0" applyFont="1" applyBorder="1"/>
    <xf numFmtId="0" fontId="16" fillId="0" borderId="15" xfId="0" applyFont="1" applyBorder="1"/>
    <xf numFmtId="0" fontId="17" fillId="0" borderId="53" xfId="0" applyFont="1" applyBorder="1" applyAlignment="1">
      <alignment vertical="center" wrapText="1"/>
    </xf>
    <xf numFmtId="0" fontId="16" fillId="0" borderId="54" xfId="0" applyFont="1" applyBorder="1"/>
    <xf numFmtId="0" fontId="16" fillId="0" borderId="55" xfId="0" applyFont="1" applyBorder="1"/>
    <xf numFmtId="0" fontId="16" fillId="0" borderId="56" xfId="0" applyFont="1" applyBorder="1"/>
    <xf numFmtId="0" fontId="0" fillId="0" borderId="0" xfId="0"/>
    <xf numFmtId="0" fontId="16" fillId="0" borderId="57" xfId="0" applyFont="1" applyBorder="1"/>
    <xf numFmtId="0" fontId="16" fillId="0" borderId="58" xfId="0" applyFont="1" applyBorder="1"/>
    <xf numFmtId="0" fontId="16" fillId="0" borderId="59" xfId="0" applyFont="1" applyBorder="1"/>
    <xf numFmtId="0" fontId="16" fillId="0" borderId="60" xfId="0" applyFont="1" applyBorder="1"/>
    <xf numFmtId="0" fontId="18" fillId="13" borderId="39" xfId="0" applyFont="1" applyFill="1" applyBorder="1" applyAlignment="1">
      <alignment horizontal="center" vertical="center"/>
    </xf>
    <xf numFmtId="0" fontId="16" fillId="0" borderId="40" xfId="0" applyFont="1" applyBorder="1"/>
    <xf numFmtId="0" fontId="16" fillId="0" borderId="41" xfId="0" applyFont="1" applyBorder="1"/>
    <xf numFmtId="0" fontId="16" fillId="0" borderId="43" xfId="0" applyFont="1" applyBorder="1"/>
    <xf numFmtId="0" fontId="16" fillId="0" borderId="44" xfId="0" applyFont="1" applyBorder="1"/>
    <xf numFmtId="0" fontId="16" fillId="0" borderId="45" xfId="0" applyFont="1" applyBorder="1"/>
    <xf numFmtId="0" fontId="16" fillId="0" borderId="46" xfId="0" applyFont="1" applyBorder="1"/>
    <xf numFmtId="0" fontId="15" fillId="11" borderId="30" xfId="0" applyFont="1" applyFill="1" applyBorder="1" applyAlignment="1">
      <alignment horizontal="center" vertical="center"/>
    </xf>
    <xf numFmtId="0" fontId="15" fillId="11" borderId="31" xfId="0" applyFont="1" applyFill="1" applyBorder="1" applyAlignment="1">
      <alignment horizontal="center" vertical="center"/>
    </xf>
    <xf numFmtId="0" fontId="15" fillId="11" borderId="32" xfId="0" applyFont="1" applyFill="1" applyBorder="1" applyAlignment="1">
      <alignment horizontal="center" vertical="center"/>
    </xf>
    <xf numFmtId="0" fontId="15" fillId="11" borderId="30" xfId="0" applyFont="1" applyFill="1" applyBorder="1" applyAlignment="1">
      <alignment horizontal="center"/>
    </xf>
    <xf numFmtId="0" fontId="15" fillId="11" borderId="31" xfId="0" applyFont="1" applyFill="1" applyBorder="1" applyAlignment="1">
      <alignment horizontal="center"/>
    </xf>
    <xf numFmtId="0" fontId="15" fillId="11" borderId="32" xfId="0" applyFont="1" applyFill="1" applyBorder="1" applyAlignment="1">
      <alignment horizontal="center"/>
    </xf>
    <xf numFmtId="0" fontId="15" fillId="15" borderId="30" xfId="0" applyFont="1" applyFill="1" applyBorder="1" applyAlignment="1">
      <alignment horizontal="center" vertical="center"/>
    </xf>
    <xf numFmtId="0" fontId="16" fillId="0" borderId="31" xfId="0" applyFont="1" applyBorder="1"/>
    <xf numFmtId="0" fontId="16" fillId="0" borderId="32" xfId="0" applyFont="1" applyBorder="1"/>
  </cellXfs>
  <cellStyles count="3">
    <cellStyle name="Monétaire" xfId="2" builtinId="4"/>
    <cellStyle name="Normal" xfId="0" builtinId="0"/>
    <cellStyle name="Normal 2" xfId="1" xr:uid="{C10B9081-D991-8346-A553-CDE79463C840}"/>
  </cellStyles>
  <dxfs count="8">
    <dxf>
      <font>
        <color rgb="FFFF0000"/>
      </font>
      <fill>
        <patternFill>
          <bgColor rgb="FFFFC7CE"/>
        </patternFill>
      </fill>
    </dxf>
    <dxf>
      <font>
        <b/>
        <i val="0"/>
        <color theme="1"/>
      </font>
    </dxf>
    <dxf>
      <font>
        <color rgb="FFC00000"/>
      </font>
      <fill>
        <patternFill patternType="none"/>
      </fill>
    </dxf>
    <dxf>
      <fill>
        <patternFill patternType="none"/>
      </fill>
    </dxf>
    <dxf>
      <font>
        <color rgb="FFC00000"/>
      </font>
      <fill>
        <patternFill patternType="none"/>
      </fill>
    </dxf>
    <dxf>
      <font>
        <color rgb="FFC00000"/>
      </font>
      <fill>
        <patternFill patternType="none"/>
      </fill>
    </dxf>
    <dxf>
      <fill>
        <patternFill patternType="none"/>
      </fill>
    </dxf>
    <dxf>
      <numFmt numFmtId="34" formatCode="_-* #,##0.00\ &quot;€&quot;_-;\-* #,##0.00\ &quot;€&quot;_-;_-* &quot;-&quot;??\ &quot;€&quot;_-;_-@_-"/>
    </dxf>
  </dxfs>
  <tableStyles count="0" defaultTableStyle="TableStyleMedium2" defaultPivotStyle="PivotStyleLight16"/>
  <colors>
    <mruColors>
      <color rgb="FFFE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activeX/activeX4.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Histogramme du stock initial et projeté</a:t>
            </a:r>
          </a:p>
        </c:rich>
      </c:tx>
      <c:layout>
        <c:manualLayout>
          <c:xMode val="edge"/>
          <c:yMode val="edge"/>
          <c:x val="0.26289981123419742"/>
          <c:y val="3.76952073236402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manualLayout>
          <c:layoutTarget val="inner"/>
          <c:xMode val="edge"/>
          <c:yMode val="edge"/>
          <c:x val="6.8237897555069232E-2"/>
          <c:y val="5.1117499650185083E-2"/>
          <c:w val="0.88546052087328631"/>
          <c:h val="0.53062258574705612"/>
        </c:manualLayout>
      </c:layout>
      <c:barChart>
        <c:barDir val="col"/>
        <c:grouping val="clustered"/>
        <c:varyColors val="0"/>
        <c:ser>
          <c:idx val="0"/>
          <c:order val="0"/>
          <c:tx>
            <c:strRef>
              <c:f>DRP_V1!$G$13</c:f>
              <c:strCache>
                <c:ptCount val="1"/>
                <c:pt idx="0">
                  <c:v>Stock Initial</c:v>
                </c:pt>
              </c:strCache>
              <c:extLst xmlns:c15="http://schemas.microsoft.com/office/drawing/2012/chart"/>
            </c:strRef>
          </c:tx>
          <c:spPr>
            <a:solidFill>
              <a:srgbClr val="00B050"/>
            </a:solidFill>
            <a:ln w="9525" cap="flat" cmpd="sng" algn="ctr">
              <a:solidFill>
                <a:schemeClr val="lt1">
                  <a:alpha val="50000"/>
                </a:schemeClr>
              </a:solidFill>
              <a:round/>
            </a:ln>
            <a:effectLst/>
          </c:spPr>
          <c:invertIfNegative val="0"/>
          <c:dPt>
            <c:idx val="1"/>
            <c:invertIfNegative val="0"/>
            <c:bubble3D val="0"/>
            <c:spPr>
              <a:solidFill>
                <a:srgbClr val="00B050"/>
              </a:solidFill>
              <a:ln w="9525" cap="flat" cmpd="sng" algn="ctr">
                <a:solidFill>
                  <a:srgbClr val="FFC000"/>
                </a:solidFill>
                <a:round/>
              </a:ln>
              <a:effectLst/>
            </c:spPr>
            <c:extLst>
              <c:ext xmlns:c16="http://schemas.microsoft.com/office/drawing/2014/chart" uri="{C3380CC4-5D6E-409C-BE32-E72D297353CC}">
                <c16:uniqueId val="{00000000-2515-4102-89CD-9DC42D39C4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extLst xmlns:c15="http://schemas.microsoft.com/office/drawing/2012/chart"/>
            </c:strRef>
          </c:cat>
          <c:val>
            <c:numRef>
              <c:f>DRP_V1!$H$13:$P$13</c:f>
              <c:numCache>
                <c:formatCode>0</c:formatCode>
                <c:ptCount val="9"/>
                <c:pt idx="1">
                  <c:v>74</c:v>
                </c:pt>
              </c:numCache>
              <c:extLst xmlns:c15="http://schemas.microsoft.com/office/drawing/2012/chart"/>
            </c:numRef>
          </c:val>
          <c:extLst xmlns:c15="http://schemas.microsoft.com/office/drawing/2012/chart">
            <c:ext xmlns:c16="http://schemas.microsoft.com/office/drawing/2014/chart" uri="{C3380CC4-5D6E-409C-BE32-E72D297353CC}">
              <c16:uniqueId val="{00000000-66F3-429F-B184-DE95E1BCF629}"/>
            </c:ext>
          </c:extLst>
        </c:ser>
        <c:ser>
          <c:idx val="1"/>
          <c:order val="1"/>
          <c:tx>
            <c:strRef>
              <c:f>DRP_V1!$G$14</c:f>
              <c:strCache>
                <c:ptCount val="1"/>
                <c:pt idx="0">
                  <c:v>Stock projeté</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DRP_V1!$H$14:$P$14</c:f>
              <c:numCache>
                <c:formatCode>0</c:formatCode>
                <c:ptCount val="9"/>
                <c:pt idx="2">
                  <c:v>32</c:v>
                </c:pt>
                <c:pt idx="3">
                  <c:v>0</c:v>
                </c:pt>
                <c:pt idx="4">
                  <c:v>0</c:v>
                </c:pt>
                <c:pt idx="5">
                  <c:v>0</c:v>
                </c:pt>
                <c:pt idx="6">
                  <c:v>0</c:v>
                </c:pt>
                <c:pt idx="7">
                  <c:v>0</c:v>
                </c:pt>
                <c:pt idx="8">
                  <c:v>0</c:v>
                </c:pt>
              </c:numCache>
            </c:numRef>
          </c:val>
          <c:extLst>
            <c:ext xmlns:c16="http://schemas.microsoft.com/office/drawing/2014/chart" uri="{C3380CC4-5D6E-409C-BE32-E72D297353CC}">
              <c16:uniqueId val="{00000001-66F3-429F-B184-DE95E1BCF629}"/>
            </c:ext>
          </c:extLst>
        </c:ser>
        <c:dLbls>
          <c:dLblPos val="inEnd"/>
          <c:showLegendKey val="0"/>
          <c:showVal val="1"/>
          <c:showCatName val="0"/>
          <c:showSerName val="0"/>
          <c:showPercent val="0"/>
          <c:showBubbleSize val="0"/>
        </c:dLbls>
        <c:gapWidth val="65"/>
        <c:axId val="19331712"/>
        <c:axId val="19348992"/>
        <c:extLst>
          <c:ext xmlns:c15="http://schemas.microsoft.com/office/drawing/2012/chart" uri="{02D57815-91ED-43cb-92C2-25804820EDAC}">
            <c15:filteredBarSeries>
              <c15:ser>
                <c:idx val="2"/>
                <c:order val="2"/>
                <c:tx>
                  <c:strRef>
                    <c:extLst>
                      <c:ext uri="{02D57815-91ED-43cb-92C2-25804820EDAC}">
                        <c15:formulaRef>
                          <c15:sqref>DRP_V1!$G$15</c15:sqref>
                        </c15:formulaRef>
                      </c:ext>
                    </c:extLst>
                    <c:strCache>
                      <c:ptCount val="1"/>
                      <c:pt idx="0">
                        <c:v>Rupture prévisionnelle</c:v>
                      </c:pt>
                    </c:strCache>
                  </c:strRef>
                </c:tx>
                <c:spPr>
                  <a:solidFill>
                    <a:schemeClr val="accent1">
                      <a:shade val="8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DRP_V1!$H$11:$P$12</c15:sqref>
                        </c15:formulaRef>
                      </c:ext>
                    </c:extLst>
                    <c:strCache>
                      <c:ptCount val="9"/>
                      <c:pt idx="1">
                        <c:v>27/06/2022</c:v>
                      </c:pt>
                      <c:pt idx="2">
                        <c:v>04/07/2022</c:v>
                      </c:pt>
                      <c:pt idx="3">
                        <c:v>11/07/2022</c:v>
                      </c:pt>
                      <c:pt idx="4">
                        <c:v>18/07/2022</c:v>
                      </c:pt>
                      <c:pt idx="5">
                        <c:v>25/07/2022</c:v>
                      </c:pt>
                      <c:pt idx="6">
                        <c:v>01/08/2022</c:v>
                      </c:pt>
                      <c:pt idx="7">
                        <c:v>08/08/2022</c:v>
                      </c:pt>
                      <c:pt idx="8">
                        <c:v>15/08/2022</c:v>
                      </c:pt>
                    </c:strCache>
                  </c:strRef>
                </c:cat>
                <c:val>
                  <c:numRef>
                    <c:extLst>
                      <c:ext uri="{02D57815-91ED-43cb-92C2-25804820EDAC}">
                        <c15:formulaRef>
                          <c15:sqref>DRP_V1!$H$15:$P$15</c15:sqref>
                        </c15:formulaRef>
                      </c:ext>
                    </c:extLst>
                    <c:numCache>
                      <c:formatCode>0</c:formatCode>
                      <c:ptCount val="9"/>
                      <c:pt idx="1">
                        <c:v>0</c:v>
                      </c:pt>
                      <c:pt idx="2">
                        <c:v>-9</c:v>
                      </c:pt>
                      <c:pt idx="3">
                        <c:v>-60</c:v>
                      </c:pt>
                      <c:pt idx="4">
                        <c:v>-103</c:v>
                      </c:pt>
                      <c:pt idx="5">
                        <c:v>-84</c:v>
                      </c:pt>
                      <c:pt idx="6">
                        <c:v>-42</c:v>
                      </c:pt>
                      <c:pt idx="7">
                        <c:v>-98</c:v>
                      </c:pt>
                      <c:pt idx="8">
                        <c:v>-109</c:v>
                      </c:pt>
                    </c:numCache>
                  </c:numRef>
                </c:val>
                <c:extLst>
                  <c:ext xmlns:c16="http://schemas.microsoft.com/office/drawing/2014/chart" uri="{C3380CC4-5D6E-409C-BE32-E72D297353CC}">
                    <c16:uniqueId val="{00000002-66F3-429F-B184-DE95E1BCF62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DRP_V1!$G$16</c15:sqref>
                        </c15:formulaRef>
                      </c:ext>
                    </c:extLst>
                    <c:strCache>
                      <c:ptCount val="1"/>
                      <c:pt idx="0">
                        <c:v>Couverture de Stock</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DRP_V1!$H$11:$P$12</c15:sqref>
                        </c15:formulaRef>
                      </c:ext>
                    </c:extLst>
                    <c:strCache>
                      <c:ptCount val="9"/>
                      <c:pt idx="1">
                        <c:v>27/06/2022</c:v>
                      </c:pt>
                      <c:pt idx="2">
                        <c:v>04/07/2022</c:v>
                      </c:pt>
                      <c:pt idx="3">
                        <c:v>11/07/2022</c:v>
                      </c:pt>
                      <c:pt idx="4">
                        <c:v>18/07/2022</c:v>
                      </c:pt>
                      <c:pt idx="5">
                        <c:v>25/07/2022</c:v>
                      </c:pt>
                      <c:pt idx="6">
                        <c:v>01/08/2022</c:v>
                      </c:pt>
                      <c:pt idx="7">
                        <c:v>08/08/2022</c:v>
                      </c:pt>
                      <c:pt idx="8">
                        <c:v>15/08/2022</c:v>
                      </c:pt>
                    </c:strCache>
                  </c:strRef>
                </c:cat>
                <c:val>
                  <c:numRef>
                    <c:extLst xmlns:c15="http://schemas.microsoft.com/office/drawing/2012/chart">
                      <c:ext xmlns:c15="http://schemas.microsoft.com/office/drawing/2012/chart" uri="{02D57815-91ED-43cb-92C2-25804820EDAC}">
                        <c15:formulaRef>
                          <c15:sqref>DRP_V1!$H$16:$P$16</c15:sqref>
                        </c15:formulaRef>
                      </c:ext>
                    </c:extLst>
                    <c:numCache>
                      <c:formatCode>0</c:formatCode>
                      <c:ptCount val="9"/>
                      <c:pt idx="1">
                        <c:v>12.463414634146343</c:v>
                      </c:pt>
                      <c:pt idx="2">
                        <c:v>5.4634146341463419</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3-66F3-429F-B184-DE95E1BCF62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DRP_V1!$G$17</c15:sqref>
                        </c15:formulaRef>
                      </c:ext>
                    </c:extLst>
                    <c:strCache>
                      <c:ptCount val="1"/>
                      <c:pt idx="0">
                        <c:v>Demande prévisionnelle</c:v>
                      </c:pt>
                    </c:strCache>
                  </c:strRef>
                </c:tx>
                <c:spPr>
                  <a:solidFill>
                    <a:schemeClr val="accent1">
                      <a:tint val="8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DRP_V1!$H$11:$P$12</c15:sqref>
                        </c15:formulaRef>
                      </c:ext>
                    </c:extLst>
                    <c:strCache>
                      <c:ptCount val="9"/>
                      <c:pt idx="1">
                        <c:v>27/06/2022</c:v>
                      </c:pt>
                      <c:pt idx="2">
                        <c:v>04/07/2022</c:v>
                      </c:pt>
                      <c:pt idx="3">
                        <c:v>11/07/2022</c:v>
                      </c:pt>
                      <c:pt idx="4">
                        <c:v>18/07/2022</c:v>
                      </c:pt>
                      <c:pt idx="5">
                        <c:v>25/07/2022</c:v>
                      </c:pt>
                      <c:pt idx="6">
                        <c:v>01/08/2022</c:v>
                      </c:pt>
                      <c:pt idx="7">
                        <c:v>08/08/2022</c:v>
                      </c:pt>
                      <c:pt idx="8">
                        <c:v>15/08/2022</c:v>
                      </c:pt>
                    </c:strCache>
                  </c:strRef>
                </c:cat>
                <c:val>
                  <c:numRef>
                    <c:extLst xmlns:c15="http://schemas.microsoft.com/office/drawing/2012/chart">
                      <c:ext xmlns:c15="http://schemas.microsoft.com/office/drawing/2012/chart" uri="{02D57815-91ED-43cb-92C2-25804820EDAC}">
                        <c15:formulaRef>
                          <c15:sqref>DRP_V1!$H$17:$P$17</c15:sqref>
                        </c15:formulaRef>
                      </c:ext>
                    </c:extLst>
                    <c:numCache>
                      <c:formatCode>0</c:formatCode>
                      <c:ptCount val="9"/>
                      <c:pt idx="1">
                        <c:v>80</c:v>
                      </c:pt>
                      <c:pt idx="2">
                        <c:v>41</c:v>
                      </c:pt>
                      <c:pt idx="3">
                        <c:v>60</c:v>
                      </c:pt>
                      <c:pt idx="4">
                        <c:v>103</c:v>
                      </c:pt>
                      <c:pt idx="5">
                        <c:v>84</c:v>
                      </c:pt>
                      <c:pt idx="6">
                        <c:v>42</c:v>
                      </c:pt>
                      <c:pt idx="7">
                        <c:v>98</c:v>
                      </c:pt>
                      <c:pt idx="8">
                        <c:v>109</c:v>
                      </c:pt>
                    </c:numCache>
                  </c:numRef>
                </c:val>
                <c:extLst xmlns:c15="http://schemas.microsoft.com/office/drawing/2012/chart">
                  <c:ext xmlns:c16="http://schemas.microsoft.com/office/drawing/2014/chart" uri="{C3380CC4-5D6E-409C-BE32-E72D297353CC}">
                    <c16:uniqueId val="{00000004-66F3-429F-B184-DE95E1BCF62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DRP_V1!$G$18</c15:sqref>
                        </c15:formulaRef>
                      </c:ext>
                    </c:extLst>
                    <c:strCache>
                      <c:ptCount val="1"/>
                      <c:pt idx="0">
                        <c:v>Ordre Ferme</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DRP_V1!$H$11:$P$12</c15:sqref>
                        </c15:formulaRef>
                      </c:ext>
                    </c:extLst>
                    <c:strCache>
                      <c:ptCount val="9"/>
                      <c:pt idx="1">
                        <c:v>27/06/2022</c:v>
                      </c:pt>
                      <c:pt idx="2">
                        <c:v>04/07/2022</c:v>
                      </c:pt>
                      <c:pt idx="3">
                        <c:v>11/07/2022</c:v>
                      </c:pt>
                      <c:pt idx="4">
                        <c:v>18/07/2022</c:v>
                      </c:pt>
                      <c:pt idx="5">
                        <c:v>25/07/2022</c:v>
                      </c:pt>
                      <c:pt idx="6">
                        <c:v>01/08/2022</c:v>
                      </c:pt>
                      <c:pt idx="7">
                        <c:v>08/08/2022</c:v>
                      </c:pt>
                      <c:pt idx="8">
                        <c:v>15/08/2022</c:v>
                      </c:pt>
                    </c:strCache>
                  </c:strRef>
                </c:cat>
                <c:val>
                  <c:numRef>
                    <c:extLst xmlns:c15="http://schemas.microsoft.com/office/drawing/2012/chart">
                      <c:ext xmlns:c15="http://schemas.microsoft.com/office/drawing/2012/chart" uri="{02D57815-91ED-43cb-92C2-25804820EDAC}">
                        <c15:formulaRef>
                          <c15:sqref>DRP_V1!$H$18:$P$18</c15:sqref>
                        </c15:formulaRef>
                      </c:ext>
                    </c:extLst>
                    <c:numCache>
                      <c:formatCode>0</c:formatCode>
                      <c:ptCount val="9"/>
                      <c:pt idx="1">
                        <c:v>38</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5-66F3-429F-B184-DE95E1BCF62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DRP_V1!$G$19</c15:sqref>
                        </c15:formulaRef>
                      </c:ext>
                    </c:extLst>
                    <c:strCache>
                      <c:ptCount val="1"/>
                      <c:pt idx="0">
                        <c:v>Besoin Net </c:v>
                      </c:pt>
                    </c:strCache>
                  </c:strRef>
                </c:tx>
                <c:spPr>
                  <a:solidFill>
                    <a:schemeClr val="accent1">
                      <a:tint val="4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DRP_V1!$H$11:$P$12</c15:sqref>
                        </c15:formulaRef>
                      </c:ext>
                    </c:extLst>
                    <c:strCache>
                      <c:ptCount val="9"/>
                      <c:pt idx="1">
                        <c:v>27/06/2022</c:v>
                      </c:pt>
                      <c:pt idx="2">
                        <c:v>04/07/2022</c:v>
                      </c:pt>
                      <c:pt idx="3">
                        <c:v>11/07/2022</c:v>
                      </c:pt>
                      <c:pt idx="4">
                        <c:v>18/07/2022</c:v>
                      </c:pt>
                      <c:pt idx="5">
                        <c:v>25/07/2022</c:v>
                      </c:pt>
                      <c:pt idx="6">
                        <c:v>01/08/2022</c:v>
                      </c:pt>
                      <c:pt idx="7">
                        <c:v>08/08/2022</c:v>
                      </c:pt>
                      <c:pt idx="8">
                        <c:v>15/08/2022</c:v>
                      </c:pt>
                    </c:strCache>
                  </c:strRef>
                </c:cat>
                <c:val>
                  <c:numRef>
                    <c:extLst xmlns:c15="http://schemas.microsoft.com/office/drawing/2012/chart">
                      <c:ext xmlns:c15="http://schemas.microsoft.com/office/drawing/2012/chart" uri="{02D57815-91ED-43cb-92C2-25804820EDAC}">
                        <c15:formulaRef>
                          <c15:sqref>DRP_V1!$H$19:$P$19</c15:sqref>
                        </c15:formulaRef>
                      </c:ext>
                    </c:extLst>
                    <c:numCache>
                      <c:formatCode>0</c:formatCode>
                      <c:ptCount val="9"/>
                      <c:pt idx="1">
                        <c:v>0</c:v>
                      </c:pt>
                      <c:pt idx="2">
                        <c:v>9</c:v>
                      </c:pt>
                      <c:pt idx="3">
                        <c:v>60</c:v>
                      </c:pt>
                      <c:pt idx="4">
                        <c:v>103</c:v>
                      </c:pt>
                      <c:pt idx="5">
                        <c:v>84</c:v>
                      </c:pt>
                      <c:pt idx="6">
                        <c:v>42</c:v>
                      </c:pt>
                      <c:pt idx="7">
                        <c:v>98</c:v>
                      </c:pt>
                      <c:pt idx="8">
                        <c:v>109</c:v>
                      </c:pt>
                    </c:numCache>
                  </c:numRef>
                </c:val>
                <c:extLst xmlns:c15="http://schemas.microsoft.com/office/drawing/2012/chart">
                  <c:ext xmlns:c16="http://schemas.microsoft.com/office/drawing/2014/chart" uri="{C3380CC4-5D6E-409C-BE32-E72D297353CC}">
                    <c16:uniqueId val="{00000006-66F3-429F-B184-DE95E1BCF629}"/>
                  </c:ext>
                </c:extLst>
              </c15:ser>
            </c15:filteredBarSeries>
          </c:ext>
        </c:extLst>
      </c:barChart>
      <c:catAx>
        <c:axId val="19331712"/>
        <c:scaling>
          <c:orientation val="minMax"/>
        </c:scaling>
        <c:delete val="0"/>
        <c:axPos val="b"/>
        <c:numFmt formatCode="m/d/yyyy" sourceLinked="0"/>
        <c:majorTickMark val="none"/>
        <c:minorTickMark val="none"/>
        <c:tickLblPos val="nextTo"/>
        <c:spPr>
          <a:noFill/>
          <a:ln w="19050" cap="flat" cmpd="sng" algn="ctr">
            <a:solidFill>
              <a:schemeClr val="dk1">
                <a:lumMod val="75000"/>
                <a:lumOff val="25000"/>
              </a:schemeClr>
            </a:solidFill>
            <a:round/>
          </a:ln>
          <a:effectLst/>
        </c:spPr>
        <c:txPr>
          <a:bodyPr rot="-18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9348992"/>
        <c:crosses val="autoZero"/>
        <c:auto val="1"/>
        <c:lblAlgn val="ctr"/>
        <c:lblOffset val="100"/>
        <c:noMultiLvlLbl val="0"/>
      </c:catAx>
      <c:valAx>
        <c:axId val="19348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3171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Histogramme du</a:t>
            </a:r>
            <a:r>
              <a:rPr lang="en-US" sz="1600" baseline="0"/>
              <a:t> </a:t>
            </a:r>
            <a:r>
              <a:rPr lang="en-US" sz="1600"/>
              <a:t>stock initial</a:t>
            </a:r>
            <a:r>
              <a:rPr lang="en-US" sz="1600" baseline="0"/>
              <a:t> et</a:t>
            </a:r>
            <a:r>
              <a:rPr lang="en-US" sz="1600"/>
              <a:t> projeté</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manualLayout>
          <c:layoutTarget val="inner"/>
          <c:xMode val="edge"/>
          <c:yMode val="edge"/>
          <c:x val="5.1549212598425195E-2"/>
          <c:y val="9.9056154164939902E-2"/>
          <c:w val="0.9075966754155731"/>
          <c:h val="0.55305300379119282"/>
        </c:manualLayout>
      </c:layout>
      <c:barChart>
        <c:barDir val="col"/>
        <c:grouping val="clustered"/>
        <c:varyColors val="0"/>
        <c:ser>
          <c:idx val="0"/>
          <c:order val="0"/>
          <c:tx>
            <c:strRef>
              <c:f>DRP_V2!$G$13</c:f>
              <c:strCache>
                <c:ptCount val="1"/>
                <c:pt idx="0">
                  <c:v>Stock Initial</c:v>
                </c:pt>
              </c:strCache>
              <c:extLst xmlns:c15="http://schemas.microsoft.com/office/drawing/2012/chart"/>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ext>
              </c:extLst>
              <c:f>DRP_V2!$I$11:$Q$12</c:f>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DRP_V2!$H$13:$Q$13</c15:sqref>
                  </c15:fullRef>
                </c:ext>
              </c:extLst>
              <c:f>DRP_V2!$I$13:$Q$13</c:f>
              <c:numCache>
                <c:formatCode>0</c:formatCode>
                <c:ptCount val="9"/>
                <c:pt idx="0">
                  <c:v>110</c:v>
                </c:pt>
              </c:numCache>
            </c:numRef>
          </c:val>
          <c:extLst xmlns:c15="http://schemas.microsoft.com/office/drawing/2012/chart">
            <c:ext xmlns:c16="http://schemas.microsoft.com/office/drawing/2014/chart" uri="{C3380CC4-5D6E-409C-BE32-E72D297353CC}">
              <c16:uniqueId val="{00000000-AD98-42D2-9524-A37F7198A824}"/>
            </c:ext>
          </c:extLst>
        </c:ser>
        <c:ser>
          <c:idx val="1"/>
          <c:order val="1"/>
          <c:tx>
            <c:strRef>
              <c:f>DRP_V2!$G$14</c:f>
              <c:strCache>
                <c:ptCount val="1"/>
                <c:pt idx="0">
                  <c:v>Stock projeté</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ext>
              </c:extLst>
              <c:f>DRP_V2!$I$11:$Q$12</c:f>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DRP_V2!$H$14:$Q$14</c15:sqref>
                  </c15:fullRef>
                </c:ext>
              </c:extLst>
              <c:f>DRP_V2!$I$14:$Q$14</c:f>
              <c:numCache>
                <c:formatCode>0</c:formatCode>
                <c:ptCount val="9"/>
                <c:pt idx="1">
                  <c:v>85</c:v>
                </c:pt>
                <c:pt idx="2">
                  <c:v>67</c:v>
                </c:pt>
                <c:pt idx="3">
                  <c:v>66</c:v>
                </c:pt>
                <c:pt idx="4">
                  <c:v>52</c:v>
                </c:pt>
                <c:pt idx="5">
                  <c:v>28</c:v>
                </c:pt>
                <c:pt idx="6">
                  <c:v>16</c:v>
                </c:pt>
                <c:pt idx="7">
                  <c:v>10</c:v>
                </c:pt>
              </c:numCache>
            </c:numRef>
          </c:val>
          <c:extLst>
            <c:ext xmlns:c16="http://schemas.microsoft.com/office/drawing/2014/chart" uri="{C3380CC4-5D6E-409C-BE32-E72D297353CC}">
              <c16:uniqueId val="{00000001-AD98-42D2-9524-A37F7198A824}"/>
            </c:ext>
          </c:extLst>
        </c:ser>
        <c:dLbls>
          <c:dLblPos val="inEnd"/>
          <c:showLegendKey val="0"/>
          <c:showVal val="1"/>
          <c:showCatName val="0"/>
          <c:showSerName val="0"/>
          <c:showPercent val="0"/>
          <c:showBubbleSize val="0"/>
        </c:dLbls>
        <c:gapWidth val="65"/>
        <c:axId val="2141666576"/>
        <c:axId val="2141649296"/>
        <c:extLst>
          <c:ext xmlns:c15="http://schemas.microsoft.com/office/drawing/2012/chart" uri="{02D57815-91ED-43cb-92C2-25804820EDAC}">
            <c15:filteredBarSeries>
              <c15:ser>
                <c:idx val="2"/>
                <c:order val="2"/>
                <c:tx>
                  <c:strRef>
                    <c:extLst>
                      <c:ext uri="{02D57815-91ED-43cb-92C2-25804820EDAC}">
                        <c15:formulaRef>
                          <c15:sqref>DRP_V2!$G$15</c15:sqref>
                        </c15:formulaRef>
                      </c:ext>
                    </c:extLst>
                    <c:strCache>
                      <c:ptCount val="1"/>
                      <c:pt idx="0">
                        <c:v>Rupture prévisionnelle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uri="{02D57815-91ED-43cb-92C2-25804820EDAC}">
                        <c15:fullRef>
                          <c15:sqref>DRP_V2!$H$15:$Q$15</c15:sqref>
                        </c15:fullRef>
                        <c15:formulaRef>
                          <c15:sqref>DRP_V2!$I$15:$Q$15</c15:sqref>
                        </c15:formulaRef>
                      </c:ext>
                    </c:extLst>
                    <c:numCache>
                      <c:formatCode>0</c:formatCode>
                      <c:ptCount val="9"/>
                      <c:pt idx="0">
                        <c:v>0</c:v>
                      </c:pt>
                      <c:pt idx="1">
                        <c:v>0</c:v>
                      </c:pt>
                      <c:pt idx="2">
                        <c:v>0</c:v>
                      </c:pt>
                      <c:pt idx="3">
                        <c:v>0</c:v>
                      </c:pt>
                      <c:pt idx="4">
                        <c:v>0</c:v>
                      </c:pt>
                      <c:pt idx="5">
                        <c:v>0</c:v>
                      </c:pt>
                      <c:pt idx="6">
                        <c:v>0</c:v>
                      </c:pt>
                      <c:pt idx="7">
                        <c:v>-13</c:v>
                      </c:pt>
                    </c:numCache>
                  </c:numRef>
                </c:val>
                <c:extLst>
                  <c:ext xmlns:c16="http://schemas.microsoft.com/office/drawing/2014/chart" uri="{C3380CC4-5D6E-409C-BE32-E72D297353CC}">
                    <c16:uniqueId val="{00000002-AD98-42D2-9524-A37F7198A82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DRP_V2!$G$16</c15:sqref>
                        </c15:formulaRef>
                      </c:ext>
                    </c:extLst>
                    <c:strCache>
                      <c:ptCount val="1"/>
                      <c:pt idx="0">
                        <c:v>Couverture de Stock</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DRP_V2!$H$16:$Q$16</c15:sqref>
                        </c15:fullRef>
                        <c15:formulaRef>
                          <c15:sqref>DRP_V2!$I$16:$Q$16</c15:sqref>
                        </c15:formulaRef>
                      </c:ext>
                    </c:extLst>
                    <c:numCache>
                      <c:formatCode>0</c:formatCode>
                      <c:ptCount val="9"/>
                      <c:pt idx="0">
                        <c:v>52.043478260869563</c:v>
                      </c:pt>
                      <c:pt idx="1">
                        <c:v>45.043478260869563</c:v>
                      </c:pt>
                      <c:pt idx="2">
                        <c:v>38.043478260869563</c:v>
                      </c:pt>
                      <c:pt idx="3">
                        <c:v>31.043478260869566</c:v>
                      </c:pt>
                      <c:pt idx="4">
                        <c:v>24.043478260869566</c:v>
                      </c:pt>
                      <c:pt idx="5">
                        <c:v>17.043478260869566</c:v>
                      </c:pt>
                      <c:pt idx="6">
                        <c:v>10.043478260869566</c:v>
                      </c:pt>
                      <c:pt idx="7">
                        <c:v>3.0434782608695654</c:v>
                      </c:pt>
                    </c:numCache>
                  </c:numRef>
                </c:val>
                <c:extLst xmlns:c15="http://schemas.microsoft.com/office/drawing/2012/chart">
                  <c:ext xmlns:c16="http://schemas.microsoft.com/office/drawing/2014/chart" uri="{C3380CC4-5D6E-409C-BE32-E72D297353CC}">
                    <c16:uniqueId val="{00000003-AD98-42D2-9524-A37F7198A82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DRP_V2!$G$17</c15:sqref>
                        </c15:formulaRef>
                      </c:ext>
                    </c:extLst>
                    <c:strCache>
                      <c:ptCount val="1"/>
                      <c:pt idx="0">
                        <c:v>Demande prévisionnelle</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DRP_V2!$H$17:$Q$17</c15:sqref>
                        </c15:fullRef>
                        <c15:formulaRef>
                          <c15:sqref>DRP_V2!$I$17:$Q$17</c15:sqref>
                        </c15:formulaRef>
                      </c:ext>
                    </c:extLst>
                    <c:numCache>
                      <c:formatCode>0</c:formatCode>
                      <c:ptCount val="9"/>
                      <c:pt idx="0">
                        <c:v>25</c:v>
                      </c:pt>
                      <c:pt idx="1">
                        <c:v>18</c:v>
                      </c:pt>
                      <c:pt idx="2">
                        <c:v>22</c:v>
                      </c:pt>
                      <c:pt idx="3">
                        <c:v>14</c:v>
                      </c:pt>
                      <c:pt idx="4">
                        <c:v>24</c:v>
                      </c:pt>
                      <c:pt idx="5">
                        <c:v>22</c:v>
                      </c:pt>
                      <c:pt idx="6">
                        <c:v>16</c:v>
                      </c:pt>
                      <c:pt idx="7">
                        <c:v>23</c:v>
                      </c:pt>
                    </c:numCache>
                  </c:numRef>
                </c:val>
                <c:extLst xmlns:c15="http://schemas.microsoft.com/office/drawing/2012/chart">
                  <c:ext xmlns:c16="http://schemas.microsoft.com/office/drawing/2014/chart" uri="{C3380CC4-5D6E-409C-BE32-E72D297353CC}">
                    <c16:uniqueId val="{00000004-AD98-42D2-9524-A37F7198A82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DRP_V2!$G$18</c15:sqref>
                        </c15:formulaRef>
                      </c:ext>
                    </c:extLst>
                    <c:strCache>
                      <c:ptCount val="1"/>
                      <c:pt idx="0">
                        <c:v>Ordre Ferme</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DRP_V2!$H$18:$Q$18</c15:sqref>
                        </c15:fullRef>
                        <c15:formulaRef>
                          <c15:sqref>DRP_V2!$I$18:$Q$18</c15:sqref>
                        </c15:formulaRef>
                      </c:ext>
                    </c:extLst>
                    <c:numCache>
                      <c:formatCode>0</c:formatCode>
                      <c:ptCount val="9"/>
                      <c:pt idx="0">
                        <c:v>0</c:v>
                      </c:pt>
                      <c:pt idx="1">
                        <c:v>0</c:v>
                      </c:pt>
                      <c:pt idx="2">
                        <c:v>21</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5-AD98-42D2-9524-A37F7198A82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DRP_V2!$G$19</c15:sqref>
                        </c15:formulaRef>
                      </c:ext>
                    </c:extLst>
                    <c:strCache>
                      <c:ptCount val="1"/>
                      <c:pt idx="0">
                        <c:v>Besoin Net </c:v>
                      </c:pt>
                    </c:strCache>
                  </c:strRef>
                </c:tx>
                <c:spPr>
                  <a:solidFill>
                    <a:schemeClr val="accent6">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DRP_V2!$H$19:$Q$19</c15:sqref>
                        </c15:fullRef>
                        <c15:formulaRef>
                          <c15:sqref>DRP_V2!$I$19:$Q$19</c15:sqref>
                        </c15:formulaRef>
                      </c:ext>
                    </c:extLst>
                    <c:numCache>
                      <c:formatCode>0</c:formatCode>
                      <c:ptCount val="9"/>
                      <c:pt idx="0">
                        <c:v>0</c:v>
                      </c:pt>
                      <c:pt idx="1">
                        <c:v>0</c:v>
                      </c:pt>
                      <c:pt idx="2">
                        <c:v>0</c:v>
                      </c:pt>
                      <c:pt idx="3">
                        <c:v>0</c:v>
                      </c:pt>
                      <c:pt idx="4">
                        <c:v>0</c:v>
                      </c:pt>
                      <c:pt idx="5">
                        <c:v>6.5714285714285694</c:v>
                      </c:pt>
                      <c:pt idx="6">
                        <c:v>9.1428571428571423</c:v>
                      </c:pt>
                      <c:pt idx="7">
                        <c:v>26.142857142857139</c:v>
                      </c:pt>
                    </c:numCache>
                  </c:numRef>
                </c:val>
                <c:extLst xmlns:c15="http://schemas.microsoft.com/office/drawing/2012/chart">
                  <c:ext xmlns:c16="http://schemas.microsoft.com/office/drawing/2014/chart" uri="{C3380CC4-5D6E-409C-BE32-E72D297353CC}">
                    <c16:uniqueId val="{00000006-AD98-42D2-9524-A37F7198A82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DRP_V2!$G$23</c15:sqref>
                        </c15:formulaRef>
                      </c:ext>
                    </c:extLst>
                    <c:strCache>
                      <c:ptCount val="1"/>
                    </c:strCache>
                  </c:strRef>
                </c:tx>
                <c:spPr>
                  <a:solidFill>
                    <a:schemeClr val="accent5">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DRP_V2!$H$11:$Q$12</c15:sqref>
                        </c15:fullRef>
                        <c15:formulaRef>
                          <c15:sqref>DRP_V2!$I$11:$Q$12</c15:sqref>
                        </c15:formulaRef>
                      </c:ext>
                    </c:extLst>
                    <c:strCache>
                      <c:ptCount val="8"/>
                      <c:pt idx="0">
                        <c:v>27/06/2022</c:v>
                      </c:pt>
                      <c:pt idx="1">
                        <c:v>04/07/2022</c:v>
                      </c:pt>
                      <c:pt idx="2">
                        <c:v>11/07/2022</c:v>
                      </c:pt>
                      <c:pt idx="3">
                        <c:v>18/07/2022</c:v>
                      </c:pt>
                      <c:pt idx="4">
                        <c:v>25/07/2022</c:v>
                      </c:pt>
                      <c:pt idx="5">
                        <c:v>01/08/2022</c:v>
                      </c:pt>
                      <c:pt idx="6">
                        <c:v>08/08/2022</c:v>
                      </c:pt>
                      <c:pt idx="7">
                        <c:v>15/08/2022</c:v>
                      </c:pt>
                    </c:strCache>
                  </c:strRef>
                </c:cat>
                <c:val>
                  <c:numRef>
                    <c:extLst>
                      <c:ext xmlns:c15="http://schemas.microsoft.com/office/drawing/2012/chart" uri="{02D57815-91ED-43cb-92C2-25804820EDAC}">
                        <c15:fullRef>
                          <c15:sqref>DRP_V2!$H$23:$Q$23</c15:sqref>
                        </c15:fullRef>
                        <c15:formulaRef>
                          <c15:sqref>DRP_V2!$I$23:$Q$23</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7-AD98-42D2-9524-A37F7198A824}"/>
                  </c:ext>
                </c:extLst>
              </c15:ser>
            </c15:filteredBarSeries>
          </c:ext>
        </c:extLst>
      </c:barChart>
      <c:catAx>
        <c:axId val="21416665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Date</a:t>
                </a:r>
                <a:r>
                  <a:rPr lang="fr-FR" baseline="0"/>
                  <a:t> de couverture</a:t>
                </a:r>
                <a:endParaRPr lang="fr-FR"/>
              </a:p>
            </c:rich>
          </c:tx>
          <c:layout>
            <c:manualLayout>
              <c:xMode val="edge"/>
              <c:yMode val="edge"/>
              <c:x val="0.78248622047244099"/>
              <c:y val="0.678040651895257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m/d/yyyy"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2141649296"/>
        <c:crosses val="autoZero"/>
        <c:auto val="1"/>
        <c:lblAlgn val="ctr"/>
        <c:lblOffset val="100"/>
        <c:noMultiLvlLbl val="0"/>
      </c:catAx>
      <c:valAx>
        <c:axId val="2141649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articles</a:t>
                </a:r>
              </a:p>
              <a:p>
                <a:pPr>
                  <a:defRPr/>
                </a:pP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crossAx val="2141666576"/>
        <c:crosses val="autoZero"/>
        <c:crossBetween val="between"/>
      </c:valAx>
      <c:spPr>
        <a:noFill/>
        <a:ln>
          <a:noFill/>
        </a:ln>
        <a:effectLst/>
      </c:spPr>
    </c:plotArea>
    <c:legend>
      <c:legendPos val="b"/>
      <c:overlay val="0"/>
      <c:spPr>
        <a:solidFill>
          <a:schemeClr val="lt1">
            <a:lumMod val="95000"/>
            <a:alpha val="39000"/>
          </a:schemeClr>
        </a:solidFill>
        <a:ln>
          <a:solidFill>
            <a:srgbClr val="FF0000"/>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22860</xdr:rowOff>
    </xdr:from>
    <xdr:to>
      <xdr:col>5</xdr:col>
      <xdr:colOff>320040</xdr:colOff>
      <xdr:row>25</xdr:row>
      <xdr:rowOff>87630</xdr:rowOff>
    </xdr:to>
    <xdr:graphicFrame macro="">
      <xdr:nvGraphicFramePr>
        <xdr:cNvPr id="3" name="Graphique 2">
          <a:extLst>
            <a:ext uri="{FF2B5EF4-FFF2-40B4-BE49-F238E27FC236}">
              <a16:creationId xmlns:a16="http://schemas.microsoft.com/office/drawing/2014/main" id="{F4372ECD-6968-BEAE-CF00-829A79825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13</xdr:row>
      <xdr:rowOff>140970</xdr:rowOff>
    </xdr:from>
    <xdr:to>
      <xdr:col>4</xdr:col>
      <xdr:colOff>647700</xdr:colOff>
      <xdr:row>27</xdr:row>
      <xdr:rowOff>80010</xdr:rowOff>
    </xdr:to>
    <xdr:graphicFrame macro="">
      <xdr:nvGraphicFramePr>
        <xdr:cNvPr id="3" name="Graphique 2">
          <a:extLst>
            <a:ext uri="{FF2B5EF4-FFF2-40B4-BE49-F238E27FC236}">
              <a16:creationId xmlns:a16="http://schemas.microsoft.com/office/drawing/2014/main" id="{E7370590-980C-4F18-4DE7-0D9D23967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2</xdr:col>
          <xdr:colOff>548640</xdr:colOff>
          <xdr:row>7</xdr:row>
          <xdr:rowOff>175260</xdr:rowOff>
        </xdr:to>
        <xdr:sp macro="" textlink="">
          <xdr:nvSpPr>
            <xdr:cNvPr id="13313" name="Control 1" hidden="1">
              <a:extLst>
                <a:ext uri="{63B3BB69-23CF-44E3-9099-C40C66FF867C}">
                  <a14:compatExt spid="_x0000_s13313"/>
                </a:ext>
                <a:ext uri="{FF2B5EF4-FFF2-40B4-BE49-F238E27FC236}">
                  <a16:creationId xmlns:a16="http://schemas.microsoft.com/office/drawing/2014/main" id="{00000000-0008-0000-0B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784860</xdr:colOff>
          <xdr:row>7</xdr:row>
          <xdr:rowOff>175260</xdr:rowOff>
        </xdr:to>
        <xdr:sp macro="" textlink="">
          <xdr:nvSpPr>
            <xdr:cNvPr id="13314" name="Control 2" hidden="1">
              <a:extLst>
                <a:ext uri="{63B3BB69-23CF-44E3-9099-C40C66FF867C}">
                  <a14:compatExt spid="_x0000_s13314"/>
                </a:ext>
                <a:ext uri="{FF2B5EF4-FFF2-40B4-BE49-F238E27FC236}">
                  <a16:creationId xmlns:a16="http://schemas.microsoft.com/office/drawing/2014/main" id="{00000000-0008-0000-0B00-000002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3</xdr:col>
          <xdr:colOff>548640</xdr:colOff>
          <xdr:row>18</xdr:row>
          <xdr:rowOff>175260</xdr:rowOff>
        </xdr:to>
        <xdr:sp macro="" textlink="">
          <xdr:nvSpPr>
            <xdr:cNvPr id="13315" name="Control 3" hidden="1">
              <a:extLst>
                <a:ext uri="{63B3BB69-23CF-44E3-9099-C40C66FF867C}">
                  <a14:compatExt spid="_x0000_s13315"/>
                </a:ext>
                <a:ext uri="{FF2B5EF4-FFF2-40B4-BE49-F238E27FC236}">
                  <a16:creationId xmlns:a16="http://schemas.microsoft.com/office/drawing/2014/main" id="{00000000-0008-0000-0B00-000003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4</xdr:col>
          <xdr:colOff>784860</xdr:colOff>
          <xdr:row>18</xdr:row>
          <xdr:rowOff>175260</xdr:rowOff>
        </xdr:to>
        <xdr:sp macro="" textlink="">
          <xdr:nvSpPr>
            <xdr:cNvPr id="13316" name="Control 4" hidden="1">
              <a:extLst>
                <a:ext uri="{63B3BB69-23CF-44E3-9099-C40C66FF867C}">
                  <a14:compatExt spid="_x0000_s13316"/>
                </a:ext>
                <a:ext uri="{FF2B5EF4-FFF2-40B4-BE49-F238E27FC236}">
                  <a16:creationId xmlns:a16="http://schemas.microsoft.com/office/drawing/2014/main" id="{00000000-0008-0000-0B00-000004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OSSIER%20OPENCLASSROOMS\PROJET%20N&#176;7\PARTIE%20V2\P7_Article_parame&#768;tre_03_23%20(1).xlsx" TargetMode="External"/><Relationship Id="rId1" Type="http://schemas.openxmlformats.org/officeDocument/2006/relationships/externalLinkPath" Target="P7_Article_parame&#768;tre_03_2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ticle-Paramètre"/>
    </sheetNames>
    <sheetDataSet>
      <sheetData sheetId="0">
        <row r="1">
          <cell r="A1" t="str">
            <v>SKU</v>
          </cell>
          <cell r="B1" t="str">
            <v>MOQ</v>
          </cell>
          <cell r="C1" t="str">
            <v>Stock de Securité</v>
          </cell>
        </row>
        <row r="2">
          <cell r="A2">
            <v>115600</v>
          </cell>
          <cell r="B2">
            <v>34</v>
          </cell>
          <cell r="C2">
            <v>2</v>
          </cell>
        </row>
        <row r="3">
          <cell r="A3">
            <v>129208</v>
          </cell>
          <cell r="B3">
            <v>20</v>
          </cell>
          <cell r="C3">
            <v>5</v>
          </cell>
        </row>
        <row r="4">
          <cell r="A4">
            <v>300380</v>
          </cell>
          <cell r="B4">
            <v>34</v>
          </cell>
          <cell r="C4">
            <v>5</v>
          </cell>
        </row>
        <row r="5">
          <cell r="A5">
            <v>23393</v>
          </cell>
          <cell r="B5">
            <v>400</v>
          </cell>
          <cell r="C5">
            <v>5</v>
          </cell>
        </row>
        <row r="6">
          <cell r="A6">
            <v>26764</v>
          </cell>
          <cell r="B6">
            <v>56</v>
          </cell>
          <cell r="C6">
            <v>11</v>
          </cell>
        </row>
        <row r="7">
          <cell r="A7">
            <v>53934</v>
          </cell>
          <cell r="B7">
            <v>38</v>
          </cell>
          <cell r="C7">
            <v>4</v>
          </cell>
        </row>
        <row r="8">
          <cell r="A8">
            <v>78699</v>
          </cell>
          <cell r="B8">
            <v>36</v>
          </cell>
          <cell r="C8">
            <v>6</v>
          </cell>
        </row>
        <row r="9">
          <cell r="A9">
            <v>78869</v>
          </cell>
          <cell r="B9">
            <v>12</v>
          </cell>
          <cell r="C9">
            <v>9</v>
          </cell>
        </row>
        <row r="10">
          <cell r="A10">
            <v>141622</v>
          </cell>
          <cell r="B10">
            <v>10</v>
          </cell>
          <cell r="C10">
            <v>4</v>
          </cell>
        </row>
        <row r="11">
          <cell r="A11">
            <v>141626</v>
          </cell>
          <cell r="B11">
            <v>30</v>
          </cell>
          <cell r="C11">
            <v>8</v>
          </cell>
        </row>
        <row r="12">
          <cell r="A12">
            <v>141791</v>
          </cell>
          <cell r="B12">
            <v>18</v>
          </cell>
          <cell r="C12">
            <v>5</v>
          </cell>
        </row>
        <row r="13">
          <cell r="A13">
            <v>141846</v>
          </cell>
          <cell r="B13">
            <v>58</v>
          </cell>
          <cell r="C13">
            <v>5</v>
          </cell>
        </row>
        <row r="14">
          <cell r="A14">
            <v>141967</v>
          </cell>
          <cell r="B14">
            <v>50</v>
          </cell>
          <cell r="C14">
            <v>7</v>
          </cell>
        </row>
        <row r="15">
          <cell r="A15">
            <v>142194</v>
          </cell>
          <cell r="B15">
            <v>28</v>
          </cell>
          <cell r="C15">
            <v>7</v>
          </cell>
        </row>
        <row r="16">
          <cell r="A16">
            <v>149729</v>
          </cell>
          <cell r="B16">
            <v>48</v>
          </cell>
          <cell r="C16">
            <v>5</v>
          </cell>
        </row>
        <row r="17">
          <cell r="A17">
            <v>149779</v>
          </cell>
          <cell r="B17">
            <v>48</v>
          </cell>
          <cell r="C17">
            <v>3</v>
          </cell>
        </row>
        <row r="18">
          <cell r="A18">
            <v>189933</v>
          </cell>
          <cell r="B18">
            <v>10</v>
          </cell>
          <cell r="C18">
            <v>7</v>
          </cell>
        </row>
        <row r="19">
          <cell r="A19">
            <v>202577</v>
          </cell>
          <cell r="B19">
            <v>54</v>
          </cell>
          <cell r="C19">
            <v>7</v>
          </cell>
        </row>
        <row r="20">
          <cell r="A20">
            <v>234334</v>
          </cell>
          <cell r="B20">
            <v>42</v>
          </cell>
          <cell r="C20">
            <v>10</v>
          </cell>
        </row>
        <row r="21">
          <cell r="A21">
            <v>249444</v>
          </cell>
          <cell r="B21">
            <v>60</v>
          </cell>
          <cell r="C21">
            <v>9</v>
          </cell>
        </row>
        <row r="22">
          <cell r="A22">
            <v>249795</v>
          </cell>
          <cell r="B22">
            <v>50</v>
          </cell>
          <cell r="C22">
            <v>10</v>
          </cell>
        </row>
        <row r="23">
          <cell r="A23">
            <v>250979</v>
          </cell>
          <cell r="B23">
            <v>50</v>
          </cell>
          <cell r="C23">
            <v>4</v>
          </cell>
        </row>
        <row r="24">
          <cell r="A24">
            <v>250981</v>
          </cell>
          <cell r="B24">
            <v>10</v>
          </cell>
          <cell r="C24">
            <v>8</v>
          </cell>
        </row>
        <row r="25">
          <cell r="A25">
            <v>262294</v>
          </cell>
          <cell r="B25">
            <v>48</v>
          </cell>
          <cell r="C25">
            <v>4</v>
          </cell>
        </row>
        <row r="26">
          <cell r="A26">
            <v>268831</v>
          </cell>
          <cell r="B26">
            <v>12</v>
          </cell>
          <cell r="C26">
            <v>8</v>
          </cell>
        </row>
        <row r="27">
          <cell r="A27">
            <v>273701</v>
          </cell>
          <cell r="B27">
            <v>20</v>
          </cell>
          <cell r="C27">
            <v>7</v>
          </cell>
        </row>
        <row r="28">
          <cell r="A28">
            <v>291726</v>
          </cell>
          <cell r="B28">
            <v>50</v>
          </cell>
          <cell r="C28">
            <v>5</v>
          </cell>
        </row>
        <row r="29">
          <cell r="A29">
            <v>291728</v>
          </cell>
          <cell r="B29">
            <v>24</v>
          </cell>
          <cell r="C29">
            <v>5</v>
          </cell>
        </row>
        <row r="30">
          <cell r="A30">
            <v>571521</v>
          </cell>
          <cell r="B30">
            <v>10</v>
          </cell>
          <cell r="C30">
            <v>3</v>
          </cell>
        </row>
        <row r="31">
          <cell r="A31">
            <v>614993</v>
          </cell>
          <cell r="B31">
            <v>26</v>
          </cell>
          <cell r="C31">
            <v>7</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C1565-E435-FE43-B990-395F3ECFCBF7}" name="Table1" displayName="Table1" ref="A1:C96" totalsRowShown="0">
  <autoFilter ref="A1:C96" xr:uid="{B71C1565-E435-FE43-B990-395F3ECFCBF7}"/>
  <sortState xmlns:xlrd2="http://schemas.microsoft.com/office/spreadsheetml/2017/richdata2" ref="A2:C91">
    <sortCondition ref="A1:A91"/>
  </sortState>
  <tableColumns count="3">
    <tableColumn id="1" xr3:uid="{03B97463-F7F1-1F4C-887C-611241EEACD4}" name="Fournisseur ID"/>
    <tableColumn id="2" xr3:uid="{7B1B92F4-CAF6-ED49-8760-42B80E48D8E9}" name="Shop ID"/>
    <tableColumn id="3" xr3:uid="{136D3924-1E32-7D4D-8DB3-9B9DC2B56B82}" name="Dist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1760B0-6467-7D4F-8A53-61C50EEA5290}" name="Table3" displayName="Table3" ref="A1:D9" totalsRowShown="0">
  <autoFilter ref="A1:D9" xr:uid="{CD1760B0-6467-7D4F-8A53-61C50EEA5290}"/>
  <tableColumns count="4">
    <tableColumn id="1" xr3:uid="{D8A70066-60B3-A640-91B4-AA84CBF228F8}" name="Transporteur ID"/>
    <tableColumn id="2" xr3:uid="{673CC92C-9E94-294B-8A21-907C5FC39620}" name="Prix Fixe €"/>
    <tableColumn id="3" xr3:uid="{3C3F22CA-6D5D-6349-887C-24BA4D63D25D}" name="€/km au-delà fixe"/>
    <tableColumn id="4" xr3:uid="{B2108F53-B5C8-4BC9-AC96-C1B1AB1DAA99}" name="Colonne1" dataDxfId="7">
      <calculatedColumnFormula>Table3[[#This Row],[Prix Fixe €]]+Table3[[#This Row],[€/km au-delà fixe]]*DRP_V2!$H$28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4.xml"/><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EF2CB"/>
  </sheetPr>
  <dimension ref="A1:G1000"/>
  <sheetViews>
    <sheetView workbookViewId="0">
      <selection activeCell="A2" sqref="A2"/>
    </sheetView>
  </sheetViews>
  <sheetFormatPr baseColWidth="10" defaultColWidth="14.44140625" defaultRowHeight="15" customHeight="1"/>
  <cols>
    <col min="1" max="1" width="8.6640625" customWidth="1"/>
    <col min="2" max="2" width="40.33203125" customWidth="1"/>
    <col min="3" max="3" width="13.77734375" customWidth="1"/>
    <col min="4" max="4" width="16.44140625" customWidth="1"/>
    <col min="5" max="5" width="8.6640625" customWidth="1"/>
    <col min="6" max="6" width="11.109375" customWidth="1"/>
    <col min="7" max="26" width="8.6640625" customWidth="1"/>
  </cols>
  <sheetData>
    <row r="1" spans="1:7" ht="14.25" customHeight="1">
      <c r="A1" s="1" t="s">
        <v>0</v>
      </c>
      <c r="B1" s="1" t="s">
        <v>1</v>
      </c>
      <c r="C1" s="1" t="s">
        <v>2</v>
      </c>
      <c r="D1" s="1" t="s">
        <v>3</v>
      </c>
      <c r="E1" s="2" t="s">
        <v>4</v>
      </c>
      <c r="F1" s="58" t="s">
        <v>94</v>
      </c>
    </row>
    <row r="2" spans="1:7" ht="14.25" customHeight="1">
      <c r="A2" s="3">
        <v>115600</v>
      </c>
      <c r="B2" s="3" t="s">
        <v>5</v>
      </c>
      <c r="C2" s="3" t="s">
        <v>6</v>
      </c>
      <c r="D2" s="3" t="s">
        <v>7</v>
      </c>
      <c r="E2" s="4">
        <v>14</v>
      </c>
      <c r="F2">
        <v>15461</v>
      </c>
    </row>
    <row r="3" spans="1:7" ht="14.25" customHeight="1">
      <c r="A3" s="3">
        <v>129208</v>
      </c>
      <c r="B3" s="3" t="s">
        <v>8</v>
      </c>
      <c r="C3" s="3" t="s">
        <v>6</v>
      </c>
      <c r="D3" s="3" t="s">
        <v>9</v>
      </c>
      <c r="E3" s="5">
        <v>14</v>
      </c>
      <c r="F3">
        <v>15461</v>
      </c>
      <c r="G3" s="5"/>
    </row>
    <row r="4" spans="1:7" ht="14.25" customHeight="1">
      <c r="A4" s="6">
        <v>300380</v>
      </c>
      <c r="B4" s="6" t="s">
        <v>10</v>
      </c>
      <c r="C4" s="6" t="s">
        <v>6</v>
      </c>
      <c r="D4" s="3" t="s">
        <v>9</v>
      </c>
      <c r="E4" s="5">
        <v>14</v>
      </c>
      <c r="F4">
        <v>16783</v>
      </c>
      <c r="G4" s="5"/>
    </row>
    <row r="5" spans="1:7" ht="14.25" customHeight="1">
      <c r="A5" s="6">
        <v>23393</v>
      </c>
      <c r="B5" s="6" t="s">
        <v>11</v>
      </c>
      <c r="C5" s="6" t="s">
        <v>6</v>
      </c>
      <c r="D5" s="3" t="s">
        <v>9</v>
      </c>
      <c r="E5" s="5">
        <v>7</v>
      </c>
      <c r="F5">
        <v>14673</v>
      </c>
      <c r="G5" s="5"/>
    </row>
    <row r="6" spans="1:7" ht="14.25" customHeight="1">
      <c r="A6" s="6">
        <v>26764</v>
      </c>
      <c r="B6" s="6" t="s">
        <v>12</v>
      </c>
      <c r="C6" s="6" t="s">
        <v>6</v>
      </c>
      <c r="D6" s="3" t="s">
        <v>9</v>
      </c>
      <c r="E6" s="5">
        <v>7</v>
      </c>
      <c r="F6">
        <v>12576</v>
      </c>
      <c r="G6" s="5"/>
    </row>
    <row r="7" spans="1:7" ht="14.25" customHeight="1">
      <c r="A7" s="6">
        <v>53934</v>
      </c>
      <c r="B7" s="6" t="s">
        <v>13</v>
      </c>
      <c r="C7" s="6" t="s">
        <v>6</v>
      </c>
      <c r="D7" s="3" t="s">
        <v>9</v>
      </c>
      <c r="E7" s="5">
        <v>14</v>
      </c>
      <c r="F7">
        <v>14673</v>
      </c>
      <c r="G7" s="5"/>
    </row>
    <row r="8" spans="1:7" ht="14.25" customHeight="1">
      <c r="A8" s="3">
        <v>78699</v>
      </c>
      <c r="B8" s="3" t="s">
        <v>14</v>
      </c>
      <c r="C8" s="6" t="s">
        <v>6</v>
      </c>
      <c r="D8" s="3" t="s">
        <v>9</v>
      </c>
      <c r="E8" s="5">
        <v>7</v>
      </c>
      <c r="F8">
        <v>14673</v>
      </c>
      <c r="G8" s="5"/>
    </row>
    <row r="9" spans="1:7" ht="14.25" customHeight="1">
      <c r="A9" s="3">
        <v>78869</v>
      </c>
      <c r="B9" s="3" t="s">
        <v>15</v>
      </c>
      <c r="C9" s="6" t="s">
        <v>6</v>
      </c>
      <c r="D9" s="3" t="s">
        <v>9</v>
      </c>
      <c r="E9" s="5">
        <v>7</v>
      </c>
      <c r="F9">
        <v>14673</v>
      </c>
      <c r="G9" s="5"/>
    </row>
    <row r="10" spans="1:7" ht="14.25" customHeight="1">
      <c r="A10" s="3">
        <v>141622</v>
      </c>
      <c r="B10" s="3" t="s">
        <v>16</v>
      </c>
      <c r="C10" s="3" t="s">
        <v>6</v>
      </c>
      <c r="D10" s="3" t="s">
        <v>9</v>
      </c>
      <c r="E10" s="5">
        <v>7</v>
      </c>
      <c r="F10">
        <v>12576</v>
      </c>
      <c r="G10" s="5"/>
    </row>
    <row r="11" spans="1:7" ht="14.25" customHeight="1">
      <c r="A11" s="6">
        <v>141626</v>
      </c>
      <c r="B11" s="6" t="s">
        <v>17</v>
      </c>
      <c r="C11" s="6" t="s">
        <v>6</v>
      </c>
      <c r="D11" s="3" t="s">
        <v>9</v>
      </c>
      <c r="E11" s="5">
        <v>7</v>
      </c>
      <c r="F11">
        <v>14673</v>
      </c>
      <c r="G11" s="5"/>
    </row>
    <row r="12" spans="1:7" ht="14.25" customHeight="1">
      <c r="A12" s="6">
        <v>141791</v>
      </c>
      <c r="B12" s="6" t="s">
        <v>18</v>
      </c>
      <c r="C12" s="6" t="s">
        <v>6</v>
      </c>
      <c r="D12" s="3" t="s">
        <v>9</v>
      </c>
      <c r="E12" s="5">
        <v>14</v>
      </c>
      <c r="F12">
        <v>12576</v>
      </c>
      <c r="G12" s="5"/>
    </row>
    <row r="13" spans="1:7" ht="14.25" customHeight="1">
      <c r="A13" s="6">
        <v>141846</v>
      </c>
      <c r="B13" s="6" t="s">
        <v>19</v>
      </c>
      <c r="C13" s="6" t="s">
        <v>6</v>
      </c>
      <c r="D13" s="3" t="s">
        <v>9</v>
      </c>
      <c r="E13" s="5">
        <v>14</v>
      </c>
      <c r="F13">
        <v>12576</v>
      </c>
      <c r="G13" s="5"/>
    </row>
    <row r="14" spans="1:7" ht="14.25" customHeight="1">
      <c r="A14" s="6">
        <v>141967</v>
      </c>
      <c r="B14" s="6" t="s">
        <v>20</v>
      </c>
      <c r="C14" s="6" t="s">
        <v>6</v>
      </c>
      <c r="D14" s="3" t="s">
        <v>9</v>
      </c>
      <c r="E14" s="5">
        <v>7</v>
      </c>
      <c r="F14">
        <v>12576</v>
      </c>
      <c r="G14" s="5"/>
    </row>
    <row r="15" spans="1:7" ht="14.25" customHeight="1">
      <c r="A15" s="6">
        <v>142194</v>
      </c>
      <c r="B15" s="6" t="s">
        <v>21</v>
      </c>
      <c r="C15" s="6" t="s">
        <v>6</v>
      </c>
      <c r="D15" s="3" t="s">
        <v>9</v>
      </c>
      <c r="E15" s="5">
        <v>14</v>
      </c>
      <c r="F15">
        <v>12576</v>
      </c>
      <c r="G15" s="5"/>
    </row>
    <row r="16" spans="1:7" ht="14.25" customHeight="1">
      <c r="A16" s="3">
        <v>149729</v>
      </c>
      <c r="B16" s="3" t="s">
        <v>22</v>
      </c>
      <c r="C16" s="3" t="s">
        <v>23</v>
      </c>
      <c r="D16" s="3" t="s">
        <v>9</v>
      </c>
      <c r="E16" s="5">
        <v>7</v>
      </c>
      <c r="F16">
        <v>13456</v>
      </c>
      <c r="G16" s="5"/>
    </row>
    <row r="17" spans="1:7" ht="14.25" customHeight="1">
      <c r="A17" s="3">
        <v>149779</v>
      </c>
      <c r="B17" s="3" t="s">
        <v>24</v>
      </c>
      <c r="C17" s="3" t="s">
        <v>23</v>
      </c>
      <c r="D17" s="3" t="s">
        <v>9</v>
      </c>
      <c r="E17" s="5">
        <v>7</v>
      </c>
      <c r="F17">
        <v>14673</v>
      </c>
      <c r="G17" s="5"/>
    </row>
    <row r="18" spans="1:7" ht="14.25" customHeight="1">
      <c r="A18" s="6">
        <v>189933</v>
      </c>
      <c r="B18" s="6" t="s">
        <v>25</v>
      </c>
      <c r="C18" s="3" t="s">
        <v>23</v>
      </c>
      <c r="D18" s="3" t="s">
        <v>9</v>
      </c>
      <c r="E18" s="5">
        <v>7</v>
      </c>
      <c r="F18">
        <v>14673</v>
      </c>
      <c r="G18" s="5"/>
    </row>
    <row r="19" spans="1:7" ht="14.25" customHeight="1">
      <c r="A19" s="3">
        <v>202577</v>
      </c>
      <c r="B19" s="3" t="s">
        <v>26</v>
      </c>
      <c r="C19" s="3" t="s">
        <v>23</v>
      </c>
      <c r="D19" s="3" t="s">
        <v>9</v>
      </c>
      <c r="E19" s="5">
        <v>7</v>
      </c>
      <c r="F19">
        <v>14673</v>
      </c>
      <c r="G19" s="5"/>
    </row>
    <row r="20" spans="1:7" ht="14.25" customHeight="1">
      <c r="A20" s="6">
        <v>234334</v>
      </c>
      <c r="B20" s="6" t="s">
        <v>27</v>
      </c>
      <c r="C20" s="3" t="s">
        <v>23</v>
      </c>
      <c r="D20" s="3" t="s">
        <v>9</v>
      </c>
      <c r="E20" s="5">
        <v>7</v>
      </c>
      <c r="F20">
        <v>12576</v>
      </c>
      <c r="G20" s="5"/>
    </row>
    <row r="21" spans="1:7" ht="14.25" customHeight="1">
      <c r="A21" s="6">
        <v>249444</v>
      </c>
      <c r="B21" s="6" t="s">
        <v>28</v>
      </c>
      <c r="C21" s="3" t="s">
        <v>23</v>
      </c>
      <c r="D21" s="3" t="s">
        <v>9</v>
      </c>
      <c r="E21" s="5">
        <v>14</v>
      </c>
      <c r="F21">
        <v>14673</v>
      </c>
      <c r="G21" s="5"/>
    </row>
    <row r="22" spans="1:7" ht="14.25" customHeight="1">
      <c r="A22" s="6">
        <v>249795</v>
      </c>
      <c r="B22" s="6" t="s">
        <v>29</v>
      </c>
      <c r="C22" s="3" t="s">
        <v>23</v>
      </c>
      <c r="D22" s="3" t="s">
        <v>9</v>
      </c>
      <c r="E22" s="5">
        <v>7</v>
      </c>
      <c r="F22">
        <v>15461</v>
      </c>
      <c r="G22" s="5"/>
    </row>
    <row r="23" spans="1:7" ht="14.25" customHeight="1">
      <c r="A23" s="6">
        <v>250979</v>
      </c>
      <c r="B23" s="6" t="s">
        <v>28</v>
      </c>
      <c r="C23" s="3" t="s">
        <v>23</v>
      </c>
      <c r="D23" s="3" t="s">
        <v>9</v>
      </c>
      <c r="E23" s="5">
        <v>7</v>
      </c>
      <c r="F23">
        <v>14673</v>
      </c>
      <c r="G23" s="5"/>
    </row>
    <row r="24" spans="1:7" ht="14.25" customHeight="1">
      <c r="A24" s="6">
        <v>250981</v>
      </c>
      <c r="B24" s="6" t="s">
        <v>30</v>
      </c>
      <c r="C24" s="3" t="s">
        <v>23</v>
      </c>
      <c r="D24" s="3" t="s">
        <v>9</v>
      </c>
      <c r="E24" s="5">
        <v>7</v>
      </c>
      <c r="F24">
        <v>14673</v>
      </c>
      <c r="G24" s="5"/>
    </row>
    <row r="25" spans="1:7" ht="14.25" customHeight="1">
      <c r="A25" s="6">
        <v>262294</v>
      </c>
      <c r="B25" s="6" t="s">
        <v>31</v>
      </c>
      <c r="C25" s="3" t="s">
        <v>23</v>
      </c>
      <c r="D25" s="3" t="s">
        <v>9</v>
      </c>
      <c r="E25" s="5">
        <v>7</v>
      </c>
      <c r="F25">
        <v>15461</v>
      </c>
      <c r="G25" s="5"/>
    </row>
    <row r="26" spans="1:7" ht="14.25" customHeight="1">
      <c r="A26" s="6">
        <v>268831</v>
      </c>
      <c r="B26" s="6" t="s">
        <v>32</v>
      </c>
      <c r="C26" s="3" t="s">
        <v>23</v>
      </c>
      <c r="D26" s="3" t="s">
        <v>9</v>
      </c>
      <c r="E26" s="5">
        <v>14</v>
      </c>
      <c r="F26">
        <v>16783</v>
      </c>
      <c r="G26" s="5"/>
    </row>
    <row r="27" spans="1:7" ht="14.25" customHeight="1">
      <c r="A27" s="3">
        <v>273701</v>
      </c>
      <c r="B27" s="3" t="s">
        <v>33</v>
      </c>
      <c r="C27" s="6" t="s">
        <v>6</v>
      </c>
      <c r="D27" s="3" t="s">
        <v>9</v>
      </c>
      <c r="E27" s="5">
        <v>14</v>
      </c>
      <c r="F27">
        <v>16783</v>
      </c>
      <c r="G27" s="5"/>
    </row>
    <row r="28" spans="1:7" ht="14.25" customHeight="1">
      <c r="A28" s="3">
        <v>291726</v>
      </c>
      <c r="B28" s="3" t="s">
        <v>34</v>
      </c>
      <c r="C28" s="6" t="s">
        <v>6</v>
      </c>
      <c r="D28" s="3" t="s">
        <v>9</v>
      </c>
      <c r="E28" s="5">
        <v>7</v>
      </c>
      <c r="F28">
        <v>13456</v>
      </c>
      <c r="G28" s="5"/>
    </row>
    <row r="29" spans="1:7" ht="14.25" customHeight="1">
      <c r="A29" s="3">
        <v>291728</v>
      </c>
      <c r="B29" s="3" t="s">
        <v>35</v>
      </c>
      <c r="C29" s="6" t="s">
        <v>6</v>
      </c>
      <c r="D29" s="3" t="s">
        <v>9</v>
      </c>
      <c r="E29" s="5">
        <v>7</v>
      </c>
      <c r="F29">
        <v>13456</v>
      </c>
      <c r="G29" s="5"/>
    </row>
    <row r="30" spans="1:7" ht="14.25" customHeight="1">
      <c r="A30" s="3">
        <v>571521</v>
      </c>
      <c r="B30" s="3" t="s">
        <v>36</v>
      </c>
      <c r="C30" s="3" t="s">
        <v>23</v>
      </c>
      <c r="D30" s="3" t="s">
        <v>9</v>
      </c>
      <c r="E30" s="5">
        <v>7</v>
      </c>
      <c r="F30">
        <v>14673</v>
      </c>
      <c r="G30" s="5"/>
    </row>
    <row r="31" spans="1:7" ht="14.25" customHeight="1">
      <c r="A31" s="3">
        <v>614993</v>
      </c>
      <c r="B31" s="3" t="s">
        <v>37</v>
      </c>
      <c r="C31" s="3" t="s">
        <v>23</v>
      </c>
      <c r="D31" s="3" t="s">
        <v>9</v>
      </c>
      <c r="E31" s="5">
        <v>14</v>
      </c>
      <c r="F31">
        <v>12576</v>
      </c>
      <c r="G31" s="5"/>
    </row>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C999"/>
  <sheetViews>
    <sheetView workbookViewId="0">
      <selection activeCell="E16" sqref="E16"/>
    </sheetView>
  </sheetViews>
  <sheetFormatPr baseColWidth="10" defaultColWidth="14.44140625" defaultRowHeight="15" customHeight="1"/>
  <cols>
    <col min="1" max="1" width="21.109375" customWidth="1"/>
    <col min="2" max="2" width="25.6640625" customWidth="1"/>
    <col min="3" max="3" width="24" bestFit="1" customWidth="1"/>
    <col min="4" max="26" width="8.6640625" customWidth="1"/>
  </cols>
  <sheetData>
    <row r="1" spans="1:3" ht="14.25" customHeight="1">
      <c r="A1" s="7" t="s">
        <v>38</v>
      </c>
      <c r="B1" s="7" t="s">
        <v>39</v>
      </c>
      <c r="C1" s="7" t="s">
        <v>93</v>
      </c>
    </row>
    <row r="2" spans="1:3" ht="14.25" customHeight="1">
      <c r="A2" s="8">
        <v>1201</v>
      </c>
      <c r="B2" s="9" t="s">
        <v>40</v>
      </c>
      <c r="C2">
        <v>469</v>
      </c>
    </row>
    <row r="3" spans="1:3" ht="14.25" customHeight="1">
      <c r="A3" s="8">
        <v>1202</v>
      </c>
      <c r="B3" s="9" t="s">
        <v>41</v>
      </c>
      <c r="C3">
        <v>770</v>
      </c>
    </row>
    <row r="4" spans="1:3" ht="14.25" customHeight="1">
      <c r="A4" s="8">
        <v>1203</v>
      </c>
      <c r="B4" s="9" t="s">
        <v>42</v>
      </c>
      <c r="C4">
        <v>35</v>
      </c>
    </row>
    <row r="5" spans="1:3" ht="14.25" customHeight="1">
      <c r="A5" s="8">
        <v>1204</v>
      </c>
      <c r="B5" s="9" t="s">
        <v>43</v>
      </c>
      <c r="C5">
        <v>913</v>
      </c>
    </row>
    <row r="6" spans="1:3" ht="14.25" customHeight="1">
      <c r="A6" s="8">
        <v>1205</v>
      </c>
      <c r="B6" s="9" t="s">
        <v>44</v>
      </c>
      <c r="C6">
        <v>243</v>
      </c>
    </row>
    <row r="7" spans="1:3" ht="14.25" customHeight="1">
      <c r="A7" s="8">
        <v>1206</v>
      </c>
      <c r="B7" s="9" t="s">
        <v>45</v>
      </c>
      <c r="C7">
        <v>108</v>
      </c>
    </row>
    <row r="8" spans="1:3" ht="14.25" customHeight="1">
      <c r="A8" s="8">
        <v>1207</v>
      </c>
      <c r="B8" s="9" t="s">
        <v>46</v>
      </c>
      <c r="C8">
        <v>231</v>
      </c>
    </row>
    <row r="9" spans="1:3" ht="14.25" customHeight="1">
      <c r="A9" s="8">
        <v>1208</v>
      </c>
      <c r="B9" s="9" t="s">
        <v>47</v>
      </c>
      <c r="C9">
        <v>661</v>
      </c>
    </row>
    <row r="10" spans="1:3" ht="14.25" customHeight="1">
      <c r="A10" s="8">
        <v>1209</v>
      </c>
      <c r="B10" s="9" t="s">
        <v>48</v>
      </c>
      <c r="C10">
        <v>888</v>
      </c>
    </row>
    <row r="11" spans="1:3" ht="14.25" customHeight="1">
      <c r="A11" s="8">
        <v>1210</v>
      </c>
      <c r="B11" s="9" t="s">
        <v>49</v>
      </c>
      <c r="C11">
        <v>503</v>
      </c>
    </row>
    <row r="12" spans="1:3" ht="14.25" customHeight="1">
      <c r="A12" s="8">
        <v>1211</v>
      </c>
      <c r="B12" s="9" t="s">
        <v>50</v>
      </c>
      <c r="C12">
        <v>809</v>
      </c>
    </row>
    <row r="13" spans="1:3" ht="14.25" customHeight="1">
      <c r="A13" s="8">
        <v>1212</v>
      </c>
      <c r="B13" s="9" t="s">
        <v>51</v>
      </c>
      <c r="C13">
        <v>170</v>
      </c>
    </row>
    <row r="14" spans="1:3" ht="14.25" customHeight="1">
      <c r="A14" s="8">
        <v>1213</v>
      </c>
      <c r="B14" s="9" t="s">
        <v>52</v>
      </c>
      <c r="C14">
        <v>302</v>
      </c>
    </row>
    <row r="15" spans="1:3" ht="14.25" customHeight="1">
      <c r="A15" s="8">
        <v>1214</v>
      </c>
      <c r="B15" s="9" t="s">
        <v>53</v>
      </c>
      <c r="C15">
        <v>378</v>
      </c>
    </row>
    <row r="16" spans="1:3" ht="14.25" customHeight="1">
      <c r="A16" s="8">
        <v>1216</v>
      </c>
      <c r="B16" s="9" t="s">
        <v>54</v>
      </c>
      <c r="C16">
        <v>477</v>
      </c>
    </row>
    <row r="17" spans="1:3" ht="14.25" customHeight="1">
      <c r="A17" s="8">
        <v>1218</v>
      </c>
      <c r="B17" s="9" t="s">
        <v>55</v>
      </c>
      <c r="C17">
        <v>284</v>
      </c>
    </row>
    <row r="18" spans="1:3" ht="14.25" customHeight="1">
      <c r="A18" s="8">
        <v>1219</v>
      </c>
      <c r="B18" s="9" t="s">
        <v>56</v>
      </c>
      <c r="C18">
        <v>157</v>
      </c>
    </row>
    <row r="19" spans="1:3" ht="14.25" customHeight="1">
      <c r="A19" s="8">
        <v>1220</v>
      </c>
      <c r="B19" s="9" t="s">
        <v>57</v>
      </c>
      <c r="C19">
        <v>388</v>
      </c>
    </row>
    <row r="20" spans="1:3" ht="14.25" customHeight="1">
      <c r="A20" s="8"/>
      <c r="B20" s="9"/>
    </row>
    <row r="21" spans="1:3" ht="14.25" customHeight="1">
      <c r="A21" s="8"/>
      <c r="B21" s="9"/>
    </row>
    <row r="22" spans="1:3" ht="14.25" customHeight="1">
      <c r="A22" s="8"/>
      <c r="B22" s="9"/>
    </row>
    <row r="23" spans="1:3" ht="14.25" customHeight="1">
      <c r="A23" s="8"/>
      <c r="B23" s="9"/>
    </row>
    <row r="24" spans="1:3" ht="14.25" customHeight="1">
      <c r="A24" s="8"/>
      <c r="B24" s="9"/>
    </row>
    <row r="25" spans="1:3" ht="14.25" customHeight="1">
      <c r="A25" s="8"/>
      <c r="B25" s="9"/>
    </row>
    <row r="26" spans="1:3" ht="14.25" customHeight="1">
      <c r="A26" s="8"/>
      <c r="B26" s="9"/>
    </row>
    <row r="27" spans="1:3" ht="14.25" customHeight="1">
      <c r="A27" s="8"/>
      <c r="B27" s="9"/>
    </row>
    <row r="28" spans="1:3" ht="14.25" customHeight="1">
      <c r="A28" s="8"/>
      <c r="B28" s="9"/>
    </row>
    <row r="29" spans="1:3" ht="14.25" customHeight="1">
      <c r="A29" s="8"/>
      <c r="B29" s="9"/>
    </row>
    <row r="30" spans="1:3" ht="14.25" customHeight="1">
      <c r="A30" s="8"/>
      <c r="B30" s="9"/>
    </row>
    <row r="31" spans="1:3" ht="14.25" customHeight="1">
      <c r="A31" s="8"/>
      <c r="B31" s="9"/>
    </row>
    <row r="32" spans="1:3" ht="14.25" customHeight="1">
      <c r="A32" s="8"/>
      <c r="B32" s="9"/>
    </row>
    <row r="33" spans="1:2" ht="14.25" customHeight="1">
      <c r="A33" s="8"/>
      <c r="B33" s="9"/>
    </row>
    <row r="34" spans="1:2" ht="14.25" customHeight="1">
      <c r="A34" s="8"/>
      <c r="B34" s="9"/>
    </row>
    <row r="35" spans="1:2" ht="14.25" customHeight="1">
      <c r="A35" s="8"/>
      <c r="B35" s="9"/>
    </row>
    <row r="36" spans="1:2" ht="14.25" customHeight="1">
      <c r="A36" s="8"/>
      <c r="B36" s="9"/>
    </row>
    <row r="37" spans="1:2" ht="14.25" customHeight="1">
      <c r="A37" s="8"/>
      <c r="B37" s="9"/>
    </row>
    <row r="38" spans="1:2" ht="14.25" customHeight="1">
      <c r="A38" s="8"/>
      <c r="B38" s="9"/>
    </row>
    <row r="39" spans="1:2" ht="14.25" customHeight="1">
      <c r="A39" s="8"/>
      <c r="B39" s="9"/>
    </row>
    <row r="40" spans="1:2" ht="14.25" customHeight="1">
      <c r="A40" s="8"/>
      <c r="B40" s="9"/>
    </row>
    <row r="41" spans="1:2" ht="14.25" customHeight="1">
      <c r="A41" s="8"/>
      <c r="B41" s="9"/>
    </row>
    <row r="42" spans="1:2" ht="14.25" customHeight="1">
      <c r="A42" s="8"/>
      <c r="B42" s="9"/>
    </row>
    <row r="43" spans="1:2" ht="14.25" customHeight="1">
      <c r="A43" s="8"/>
      <c r="B43" s="9"/>
    </row>
    <row r="44" spans="1:2" ht="14.25" customHeight="1">
      <c r="A44" s="8"/>
      <c r="B44" s="9"/>
    </row>
    <row r="45" spans="1:2" ht="14.25" customHeight="1">
      <c r="A45" s="8"/>
      <c r="B45" s="9"/>
    </row>
    <row r="46" spans="1:2" ht="14.25" customHeight="1">
      <c r="A46" s="8"/>
      <c r="B46" s="9"/>
    </row>
    <row r="47" spans="1:2" ht="14.25" customHeight="1">
      <c r="A47" s="8"/>
      <c r="B47" s="9"/>
    </row>
    <row r="48" spans="1:2" ht="14.25" customHeight="1">
      <c r="A48" s="8"/>
      <c r="B48" s="9"/>
    </row>
    <row r="49" spans="1:2" ht="14.25" customHeight="1">
      <c r="A49" s="8"/>
      <c r="B49" s="9"/>
    </row>
    <row r="50" spans="1:2" ht="14.25" customHeight="1">
      <c r="A50" s="8"/>
      <c r="B50" s="9"/>
    </row>
    <row r="51" spans="1:2" ht="14.25" customHeight="1">
      <c r="A51" s="8"/>
      <c r="B51" s="9"/>
    </row>
    <row r="52" spans="1:2" ht="14.25" customHeight="1">
      <c r="A52" s="8"/>
      <c r="B52" s="9"/>
    </row>
    <row r="53" spans="1:2" ht="14.25" customHeight="1">
      <c r="A53" s="8"/>
      <c r="B53" s="9"/>
    </row>
    <row r="54" spans="1:2" ht="14.25" customHeight="1">
      <c r="A54" s="8"/>
      <c r="B54" s="9"/>
    </row>
    <row r="55" spans="1:2" ht="14.25" customHeight="1">
      <c r="A55" s="8"/>
      <c r="B55" s="9"/>
    </row>
    <row r="56" spans="1:2" ht="14.25" customHeight="1">
      <c r="A56" s="8"/>
      <c r="B56" s="9"/>
    </row>
    <row r="57" spans="1:2" ht="14.25" customHeight="1">
      <c r="A57" s="8"/>
      <c r="B57" s="9"/>
    </row>
    <row r="58" spans="1:2" ht="14.25" customHeight="1">
      <c r="A58" s="8"/>
      <c r="B58" s="9"/>
    </row>
    <row r="59" spans="1:2" ht="14.25" customHeight="1">
      <c r="A59" s="8"/>
      <c r="B59" s="9"/>
    </row>
    <row r="60" spans="1:2" ht="14.25" customHeight="1">
      <c r="A60" s="8"/>
      <c r="B60" s="9"/>
    </row>
    <row r="61" spans="1:2" ht="14.25" customHeight="1">
      <c r="A61" s="8"/>
      <c r="B61" s="9"/>
    </row>
    <row r="62" spans="1:2" ht="14.25" customHeight="1">
      <c r="A62" s="8"/>
      <c r="B62" s="9"/>
    </row>
    <row r="63" spans="1:2" ht="14.25" customHeight="1">
      <c r="A63" s="8"/>
      <c r="B63" s="9"/>
    </row>
    <row r="64" spans="1:2" ht="14.25" customHeight="1">
      <c r="A64" s="8"/>
      <c r="B64" s="9"/>
    </row>
    <row r="65" spans="1:2" ht="14.25" customHeight="1">
      <c r="A65" s="8"/>
      <c r="B65" s="9"/>
    </row>
    <row r="66" spans="1:2" ht="14.25" customHeight="1">
      <c r="A66" s="8"/>
      <c r="B66" s="9"/>
    </row>
    <row r="67" spans="1:2" ht="14.25" customHeight="1">
      <c r="A67" s="8"/>
      <c r="B67" s="9"/>
    </row>
    <row r="68" spans="1:2" ht="14.25" customHeight="1">
      <c r="A68" s="8"/>
      <c r="B68" s="9"/>
    </row>
    <row r="69" spans="1:2" ht="14.25" customHeight="1">
      <c r="A69" s="8"/>
      <c r="B69" s="9"/>
    </row>
    <row r="70" spans="1:2" ht="14.25" customHeight="1">
      <c r="A70" s="8"/>
      <c r="B70" s="9"/>
    </row>
    <row r="71" spans="1:2" ht="14.25" customHeight="1">
      <c r="A71" s="8"/>
      <c r="B71" s="9"/>
    </row>
    <row r="72" spans="1:2" ht="14.25" customHeight="1">
      <c r="A72" s="8"/>
      <c r="B72" s="9"/>
    </row>
    <row r="73" spans="1:2" ht="14.25" customHeight="1">
      <c r="A73" s="8"/>
      <c r="B73" s="9"/>
    </row>
    <row r="74" spans="1:2" ht="14.25" customHeight="1">
      <c r="A74" s="8"/>
      <c r="B74" s="9"/>
    </row>
    <row r="75" spans="1:2" ht="14.25" customHeight="1">
      <c r="A75" s="8"/>
      <c r="B75" s="9"/>
    </row>
    <row r="76" spans="1:2" ht="14.25" customHeight="1">
      <c r="A76" s="8"/>
      <c r="B76" s="9"/>
    </row>
    <row r="77" spans="1:2" ht="14.25" customHeight="1">
      <c r="A77" s="8"/>
      <c r="B77" s="9"/>
    </row>
    <row r="78" spans="1:2" ht="14.25" customHeight="1">
      <c r="A78" s="8"/>
      <c r="B78" s="9"/>
    </row>
    <row r="79" spans="1:2" ht="14.25" customHeight="1">
      <c r="A79" s="8"/>
      <c r="B79" s="9"/>
    </row>
    <row r="80" spans="1:2" ht="14.25" customHeight="1">
      <c r="A80" s="8"/>
      <c r="B80" s="9"/>
    </row>
    <row r="81" spans="1:2" ht="14.25" customHeight="1">
      <c r="A81" s="8"/>
      <c r="B81" s="9"/>
    </row>
    <row r="82" spans="1:2" ht="14.25" customHeight="1">
      <c r="A82" s="8"/>
      <c r="B82" s="9"/>
    </row>
    <row r="83" spans="1:2" ht="14.25" customHeight="1">
      <c r="A83" s="8"/>
      <c r="B83" s="9"/>
    </row>
    <row r="84" spans="1:2" ht="14.25" customHeight="1">
      <c r="A84" s="8"/>
      <c r="B84" s="9"/>
    </row>
    <row r="85" spans="1:2" ht="14.25" customHeight="1">
      <c r="A85" s="8"/>
      <c r="B85" s="9"/>
    </row>
    <row r="86" spans="1:2" ht="14.25" customHeight="1">
      <c r="A86" s="8"/>
      <c r="B86" s="9"/>
    </row>
    <row r="87" spans="1:2" ht="14.25" customHeight="1">
      <c r="A87" s="8"/>
      <c r="B87" s="9"/>
    </row>
    <row r="88" spans="1:2" ht="14.25" customHeight="1">
      <c r="A88" s="8"/>
      <c r="B88" s="9"/>
    </row>
    <row r="89" spans="1:2" ht="14.25" customHeight="1">
      <c r="A89" s="8"/>
      <c r="B89" s="9"/>
    </row>
    <row r="90" spans="1:2" ht="14.25" customHeight="1">
      <c r="A90" s="8"/>
      <c r="B90" s="9"/>
    </row>
    <row r="91" spans="1:2" ht="14.25" customHeight="1">
      <c r="A91" s="8"/>
      <c r="B91" s="9"/>
    </row>
    <row r="92" spans="1:2" ht="14.25" customHeight="1">
      <c r="A92" s="8"/>
      <c r="B92" s="9"/>
    </row>
    <row r="93" spans="1:2" ht="14.25" customHeight="1">
      <c r="A93" s="8"/>
      <c r="B93" s="9"/>
    </row>
    <row r="94" spans="1:2" ht="14.25" customHeight="1">
      <c r="A94" s="8"/>
      <c r="B94" s="9"/>
    </row>
    <row r="95" spans="1:2" ht="14.25" customHeight="1">
      <c r="A95" s="8"/>
      <c r="B95" s="9"/>
    </row>
    <row r="96" spans="1:2" ht="14.25" customHeight="1">
      <c r="A96" s="8"/>
      <c r="B96" s="9"/>
    </row>
    <row r="97" spans="1:2" ht="14.25" customHeight="1">
      <c r="A97" s="8"/>
      <c r="B97" s="9"/>
    </row>
    <row r="98" spans="1:2" ht="14.25" customHeight="1">
      <c r="A98" s="8"/>
      <c r="B98" s="9"/>
    </row>
    <row r="99" spans="1:2" ht="14.25" customHeight="1">
      <c r="A99" s="8"/>
      <c r="B99" s="9"/>
    </row>
    <row r="100" spans="1:2" ht="14.25" customHeight="1">
      <c r="A100" s="8"/>
      <c r="B100" s="9"/>
    </row>
    <row r="101" spans="1:2" ht="14.25" customHeight="1">
      <c r="A101" s="8"/>
      <c r="B101" s="9"/>
    </row>
    <row r="102" spans="1:2" ht="14.25" customHeight="1">
      <c r="A102" s="8"/>
      <c r="B102" s="9"/>
    </row>
    <row r="103" spans="1:2" ht="14.25" customHeight="1">
      <c r="A103" s="8"/>
      <c r="B103" s="9"/>
    </row>
    <row r="104" spans="1:2" ht="14.25" customHeight="1">
      <c r="A104" s="8"/>
      <c r="B104" s="9"/>
    </row>
    <row r="105" spans="1:2" ht="14.25" customHeight="1">
      <c r="A105" s="8"/>
      <c r="B105" s="9"/>
    </row>
    <row r="106" spans="1:2" ht="14.25" customHeight="1">
      <c r="A106" s="8"/>
      <c r="B106" s="9"/>
    </row>
    <row r="107" spans="1:2" ht="14.25" customHeight="1">
      <c r="A107" s="8"/>
      <c r="B107" s="9"/>
    </row>
    <row r="108" spans="1:2" ht="14.25" customHeight="1">
      <c r="A108" s="8"/>
      <c r="B108" s="9"/>
    </row>
    <row r="109" spans="1:2" ht="14.25" customHeight="1">
      <c r="A109" s="8"/>
      <c r="B109" s="9"/>
    </row>
    <row r="110" spans="1:2" ht="14.25" customHeight="1">
      <c r="A110" s="8"/>
      <c r="B110" s="9"/>
    </row>
    <row r="111" spans="1:2" ht="14.25" customHeight="1">
      <c r="A111" s="8"/>
      <c r="B111" s="9"/>
    </row>
    <row r="112" spans="1:2" ht="14.25" customHeight="1">
      <c r="A112" s="8"/>
      <c r="B112" s="9"/>
    </row>
    <row r="113" spans="1:2" ht="14.25" customHeight="1">
      <c r="A113" s="8"/>
      <c r="B113" s="9"/>
    </row>
    <row r="114" spans="1:2" ht="14.25" customHeight="1">
      <c r="A114" s="8"/>
      <c r="B114" s="9"/>
    </row>
    <row r="115" spans="1:2" ht="14.25" customHeight="1">
      <c r="A115" s="8"/>
      <c r="B115" s="9"/>
    </row>
    <row r="116" spans="1:2" ht="14.25" customHeight="1">
      <c r="A116" s="8"/>
      <c r="B116" s="9"/>
    </row>
    <row r="117" spans="1:2" ht="14.25" customHeight="1">
      <c r="A117" s="8"/>
      <c r="B117" s="9"/>
    </row>
    <row r="118" spans="1:2" ht="14.25" customHeight="1">
      <c r="A118" s="8"/>
      <c r="B118" s="9"/>
    </row>
    <row r="119" spans="1:2" ht="14.25" customHeight="1">
      <c r="A119" s="8"/>
      <c r="B119" s="9"/>
    </row>
    <row r="120" spans="1:2" ht="14.25" customHeight="1">
      <c r="A120" s="8"/>
      <c r="B120" s="9"/>
    </row>
    <row r="121" spans="1:2" ht="14.25" customHeight="1">
      <c r="A121" s="8"/>
      <c r="B121" s="9"/>
    </row>
    <row r="122" spans="1:2" ht="14.25" customHeight="1">
      <c r="A122" s="8"/>
      <c r="B122" s="9"/>
    </row>
    <row r="123" spans="1:2" ht="14.25" customHeight="1">
      <c r="A123" s="8"/>
      <c r="B123" s="9"/>
    </row>
    <row r="124" spans="1:2" ht="14.25" customHeight="1">
      <c r="A124" s="8"/>
      <c r="B124" s="9"/>
    </row>
    <row r="125" spans="1:2" ht="14.25" customHeight="1">
      <c r="A125" s="8"/>
      <c r="B125" s="9"/>
    </row>
    <row r="126" spans="1:2" ht="14.25" customHeight="1">
      <c r="A126" s="8"/>
      <c r="B126" s="9"/>
    </row>
    <row r="127" spans="1:2" ht="14.25" customHeight="1">
      <c r="A127" s="8"/>
      <c r="B127" s="9"/>
    </row>
    <row r="128" spans="1:2" ht="14.25" customHeight="1">
      <c r="A128" s="8"/>
      <c r="B128" s="9"/>
    </row>
    <row r="129" spans="1:2" ht="14.25" customHeight="1">
      <c r="A129" s="8"/>
      <c r="B129" s="9"/>
    </row>
    <row r="130" spans="1:2" ht="14.25" customHeight="1">
      <c r="A130" s="8"/>
      <c r="B130" s="9"/>
    </row>
    <row r="131" spans="1:2" ht="14.25" customHeight="1">
      <c r="A131" s="8"/>
      <c r="B131" s="9"/>
    </row>
    <row r="132" spans="1:2" ht="14.25" customHeight="1">
      <c r="A132" s="8"/>
      <c r="B132" s="9"/>
    </row>
    <row r="133" spans="1:2" ht="14.25" customHeight="1">
      <c r="A133" s="8"/>
      <c r="B133" s="9"/>
    </row>
    <row r="134" spans="1:2" ht="14.25" customHeight="1">
      <c r="A134" s="8"/>
      <c r="B134" s="9"/>
    </row>
    <row r="135" spans="1:2" ht="14.25" customHeight="1">
      <c r="A135" s="8"/>
      <c r="B135" s="9"/>
    </row>
    <row r="136" spans="1:2" ht="14.25" customHeight="1">
      <c r="A136" s="8"/>
      <c r="B136" s="9"/>
    </row>
    <row r="137" spans="1:2" ht="14.25" customHeight="1">
      <c r="A137" s="8"/>
      <c r="B137" s="9"/>
    </row>
    <row r="138" spans="1:2" ht="14.25" customHeight="1">
      <c r="A138" s="8"/>
      <c r="B138" s="9"/>
    </row>
    <row r="139" spans="1:2" ht="14.25" customHeight="1">
      <c r="A139" s="8"/>
      <c r="B139" s="9"/>
    </row>
    <row r="140" spans="1:2" ht="14.25" customHeight="1">
      <c r="A140" s="8"/>
      <c r="B140" s="9"/>
    </row>
    <row r="141" spans="1:2" ht="14.25" customHeight="1">
      <c r="A141" s="8"/>
      <c r="B141" s="9"/>
    </row>
    <row r="142" spans="1:2" ht="14.25" customHeight="1">
      <c r="A142" s="8"/>
      <c r="B142" s="9"/>
    </row>
    <row r="143" spans="1:2" ht="14.25" customHeight="1">
      <c r="A143" s="8"/>
      <c r="B143" s="9"/>
    </row>
    <row r="144" spans="1:2" ht="14.25" customHeight="1">
      <c r="A144" s="8"/>
      <c r="B144" s="9"/>
    </row>
    <row r="145" spans="1:2" ht="14.25" customHeight="1">
      <c r="A145" s="8"/>
      <c r="B145" s="9"/>
    </row>
    <row r="146" spans="1:2" ht="14.25" customHeight="1">
      <c r="A146" s="8"/>
      <c r="B146" s="9"/>
    </row>
    <row r="147" spans="1:2" ht="14.25" customHeight="1">
      <c r="A147" s="8"/>
      <c r="B147" s="9"/>
    </row>
    <row r="148" spans="1:2" ht="14.25" customHeight="1">
      <c r="A148" s="8"/>
      <c r="B148" s="9"/>
    </row>
    <row r="149" spans="1:2" ht="14.25" customHeight="1">
      <c r="A149" s="8"/>
      <c r="B149" s="9"/>
    </row>
    <row r="150" spans="1:2" ht="14.25" customHeight="1">
      <c r="A150" s="8"/>
      <c r="B150" s="9"/>
    </row>
    <row r="151" spans="1:2" ht="14.25" customHeight="1">
      <c r="A151" s="8"/>
      <c r="B151" s="9"/>
    </row>
    <row r="152" spans="1:2" ht="14.25" customHeight="1">
      <c r="A152" s="8"/>
      <c r="B152" s="9"/>
    </row>
    <row r="153" spans="1:2" ht="14.25" customHeight="1">
      <c r="A153" s="8"/>
      <c r="B153" s="9"/>
    </row>
    <row r="154" spans="1:2" ht="14.25" customHeight="1">
      <c r="A154" s="8"/>
      <c r="B154" s="9"/>
    </row>
    <row r="155" spans="1:2" ht="14.25" customHeight="1">
      <c r="A155" s="8"/>
      <c r="B155" s="9"/>
    </row>
    <row r="156" spans="1:2" ht="14.25" customHeight="1">
      <c r="A156" s="8"/>
      <c r="B156" s="9"/>
    </row>
    <row r="157" spans="1:2" ht="14.25" customHeight="1">
      <c r="A157" s="8"/>
      <c r="B157" s="9"/>
    </row>
    <row r="158" spans="1:2" ht="14.25" customHeight="1">
      <c r="A158" s="8"/>
      <c r="B158" s="9"/>
    </row>
    <row r="159" spans="1:2" ht="14.25" customHeight="1"/>
    <row r="160" spans="1:2"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740E-FDC7-CA48-B7B3-722DAC988823}">
  <sheetPr>
    <tabColor rgb="FFFEF2CB"/>
  </sheetPr>
  <dimension ref="A1:C96"/>
  <sheetViews>
    <sheetView topLeftCell="A46" workbookViewId="0">
      <selection activeCell="A56" sqref="A56"/>
    </sheetView>
  </sheetViews>
  <sheetFormatPr baseColWidth="10" defaultColWidth="10.77734375" defaultRowHeight="14.4"/>
  <cols>
    <col min="1" max="1" width="14.44140625" customWidth="1"/>
    <col min="2" max="2" width="12.44140625" customWidth="1"/>
  </cols>
  <sheetData>
    <row r="1" spans="1:3">
      <c r="A1" s="4" t="s">
        <v>94</v>
      </c>
      <c r="B1" s="4" t="s">
        <v>95</v>
      </c>
      <c r="C1" s="4" t="s">
        <v>96</v>
      </c>
    </row>
    <row r="2" spans="1:3">
      <c r="A2">
        <v>12576</v>
      </c>
      <c r="B2" s="8">
        <v>1201</v>
      </c>
      <c r="C2">
        <v>927</v>
      </c>
    </row>
    <row r="3" spans="1:3">
      <c r="A3">
        <v>12576</v>
      </c>
      <c r="B3" s="8">
        <v>1202</v>
      </c>
      <c r="C3">
        <v>1155</v>
      </c>
    </row>
    <row r="4" spans="1:3">
      <c r="A4">
        <v>12576</v>
      </c>
      <c r="B4" s="8">
        <v>1203</v>
      </c>
      <c r="C4">
        <v>489</v>
      </c>
    </row>
    <row r="5" spans="1:3">
      <c r="A5">
        <v>12576</v>
      </c>
      <c r="B5" s="8">
        <v>1204</v>
      </c>
      <c r="C5">
        <v>787</v>
      </c>
    </row>
    <row r="6" spans="1:3">
      <c r="A6">
        <v>12576</v>
      </c>
      <c r="B6" s="8">
        <v>1205</v>
      </c>
      <c r="C6">
        <v>487</v>
      </c>
    </row>
    <row r="7" spans="1:3">
      <c r="A7">
        <v>12576</v>
      </c>
      <c r="B7" s="8">
        <v>1206</v>
      </c>
      <c r="C7">
        <v>483</v>
      </c>
    </row>
    <row r="8" spans="1:3">
      <c r="A8">
        <v>12576</v>
      </c>
      <c r="B8" s="8">
        <v>1207</v>
      </c>
      <c r="C8">
        <v>697</v>
      </c>
    </row>
    <row r="9" spans="1:3">
      <c r="A9">
        <v>12576</v>
      </c>
      <c r="B9" s="8">
        <v>1208</v>
      </c>
      <c r="C9">
        <v>721</v>
      </c>
    </row>
    <row r="10" spans="1:3">
      <c r="A10">
        <v>12576</v>
      </c>
      <c r="B10" s="8">
        <v>1209</v>
      </c>
      <c r="C10">
        <v>805</v>
      </c>
    </row>
    <row r="11" spans="1:3">
      <c r="A11">
        <v>12576</v>
      </c>
      <c r="B11" s="8">
        <v>1210</v>
      </c>
      <c r="C11">
        <v>3</v>
      </c>
    </row>
    <row r="12" spans="1:3">
      <c r="A12">
        <v>12576</v>
      </c>
      <c r="B12" s="8">
        <v>1211</v>
      </c>
      <c r="C12">
        <v>869</v>
      </c>
    </row>
    <row r="13" spans="1:3">
      <c r="A13">
        <v>12576</v>
      </c>
      <c r="B13" s="8">
        <v>1212</v>
      </c>
      <c r="C13">
        <v>635</v>
      </c>
    </row>
    <row r="14" spans="1:3">
      <c r="A14">
        <v>12576</v>
      </c>
      <c r="B14" s="8">
        <v>1213</v>
      </c>
      <c r="C14">
        <v>663</v>
      </c>
    </row>
    <row r="15" spans="1:3">
      <c r="A15">
        <v>12576</v>
      </c>
      <c r="B15" s="8">
        <v>1214</v>
      </c>
      <c r="C15">
        <v>156</v>
      </c>
    </row>
    <row r="16" spans="1:3">
      <c r="A16">
        <v>12576</v>
      </c>
      <c r="B16" s="8">
        <v>1216</v>
      </c>
      <c r="C16">
        <v>774</v>
      </c>
    </row>
    <row r="17" spans="1:3">
      <c r="A17">
        <v>12576</v>
      </c>
      <c r="B17" s="8">
        <v>1218</v>
      </c>
      <c r="C17">
        <v>334</v>
      </c>
    </row>
    <row r="18" spans="1:3">
      <c r="A18">
        <v>12576</v>
      </c>
      <c r="B18" s="8">
        <v>1219</v>
      </c>
      <c r="C18">
        <v>348</v>
      </c>
    </row>
    <row r="19" spans="1:3">
      <c r="A19">
        <v>12576</v>
      </c>
      <c r="B19" s="8">
        <v>1220</v>
      </c>
      <c r="C19">
        <v>737</v>
      </c>
    </row>
    <row r="20" spans="1:3">
      <c r="A20">
        <v>13456</v>
      </c>
      <c r="B20" s="8">
        <v>1201</v>
      </c>
      <c r="C20">
        <v>376</v>
      </c>
    </row>
    <row r="21" spans="1:3">
      <c r="A21">
        <v>13456</v>
      </c>
      <c r="B21" s="8">
        <v>1202</v>
      </c>
      <c r="C21">
        <v>671</v>
      </c>
    </row>
    <row r="22" spans="1:3">
      <c r="A22">
        <v>13456</v>
      </c>
      <c r="B22" s="8">
        <v>1203</v>
      </c>
      <c r="C22">
        <v>239</v>
      </c>
    </row>
    <row r="23" spans="1:3">
      <c r="A23">
        <v>13456</v>
      </c>
      <c r="B23" s="8">
        <v>1204</v>
      </c>
      <c r="C23">
        <v>816</v>
      </c>
    </row>
    <row r="24" spans="1:3">
      <c r="A24">
        <v>13456</v>
      </c>
      <c r="B24" s="8">
        <v>1205</v>
      </c>
      <c r="C24">
        <v>449</v>
      </c>
    </row>
    <row r="25" spans="1:3">
      <c r="A25">
        <v>13456</v>
      </c>
      <c r="B25" s="8">
        <v>1206</v>
      </c>
      <c r="C25">
        <v>311</v>
      </c>
    </row>
    <row r="26" spans="1:3">
      <c r="A26">
        <v>13456</v>
      </c>
      <c r="B26" s="8">
        <v>1207</v>
      </c>
      <c r="C26">
        <v>428</v>
      </c>
    </row>
    <row r="27" spans="1:3">
      <c r="A27">
        <v>13456</v>
      </c>
      <c r="B27" s="8">
        <v>1208</v>
      </c>
      <c r="C27">
        <v>564</v>
      </c>
    </row>
    <row r="28" spans="1:3">
      <c r="A28">
        <v>13456</v>
      </c>
      <c r="B28" s="8">
        <v>1209</v>
      </c>
      <c r="C28">
        <v>791</v>
      </c>
    </row>
    <row r="29" spans="1:3">
      <c r="A29">
        <v>13456</v>
      </c>
      <c r="B29" s="8">
        <v>1210</v>
      </c>
      <c r="C29">
        <v>625</v>
      </c>
    </row>
    <row r="30" spans="1:3">
      <c r="A30">
        <v>13456</v>
      </c>
      <c r="B30" s="8">
        <v>1211</v>
      </c>
      <c r="C30">
        <v>712</v>
      </c>
    </row>
    <row r="31" spans="1:3">
      <c r="A31">
        <v>13456</v>
      </c>
      <c r="B31" s="8">
        <v>1212</v>
      </c>
      <c r="C31">
        <v>367</v>
      </c>
    </row>
    <row r="32" spans="1:3">
      <c r="A32">
        <v>13456</v>
      </c>
      <c r="B32" s="8">
        <v>1213</v>
      </c>
      <c r="C32">
        <v>88</v>
      </c>
    </row>
    <row r="33" spans="1:3">
      <c r="A33">
        <v>13456</v>
      </c>
      <c r="B33" s="8">
        <v>1214</v>
      </c>
      <c r="C33">
        <v>485</v>
      </c>
    </row>
    <row r="34" spans="1:3">
      <c r="A34">
        <v>13456</v>
      </c>
      <c r="B34" s="8">
        <v>1216</v>
      </c>
      <c r="C34">
        <v>312</v>
      </c>
    </row>
    <row r="35" spans="1:3">
      <c r="A35">
        <v>13456</v>
      </c>
      <c r="B35" s="8">
        <v>1218</v>
      </c>
      <c r="C35">
        <v>246</v>
      </c>
    </row>
    <row r="36" spans="1:3">
      <c r="A36">
        <v>13456</v>
      </c>
      <c r="B36" s="8">
        <v>1219</v>
      </c>
      <c r="C36">
        <v>355</v>
      </c>
    </row>
    <row r="37" spans="1:3">
      <c r="A37">
        <v>13456</v>
      </c>
      <c r="B37" s="8">
        <v>1220</v>
      </c>
      <c r="C37">
        <v>223</v>
      </c>
    </row>
    <row r="38" spans="1:3">
      <c r="A38">
        <v>14673</v>
      </c>
      <c r="B38" s="8">
        <v>1201</v>
      </c>
      <c r="C38">
        <v>666</v>
      </c>
    </row>
    <row r="39" spans="1:3">
      <c r="A39">
        <v>14673</v>
      </c>
      <c r="B39" s="8">
        <v>1202</v>
      </c>
      <c r="C39">
        <v>532</v>
      </c>
    </row>
    <row r="40" spans="1:3">
      <c r="A40">
        <v>14673</v>
      </c>
      <c r="B40" s="8">
        <v>1203</v>
      </c>
      <c r="C40">
        <v>739</v>
      </c>
    </row>
    <row r="41" spans="1:3">
      <c r="A41">
        <v>14673</v>
      </c>
      <c r="B41" s="8">
        <v>1204</v>
      </c>
      <c r="C41">
        <v>338</v>
      </c>
    </row>
    <row r="42" spans="1:3">
      <c r="A42">
        <v>14673</v>
      </c>
      <c r="B42" s="8">
        <v>1205</v>
      </c>
      <c r="C42">
        <v>960</v>
      </c>
    </row>
    <row r="43" spans="1:3">
      <c r="A43">
        <v>14673</v>
      </c>
      <c r="B43" s="8">
        <v>1206</v>
      </c>
      <c r="C43">
        <v>805</v>
      </c>
    </row>
    <row r="44" spans="1:3">
      <c r="A44">
        <v>14673</v>
      </c>
      <c r="B44" s="8">
        <v>1207</v>
      </c>
      <c r="C44">
        <v>928</v>
      </c>
    </row>
    <row r="45" spans="1:3">
      <c r="A45">
        <v>14673</v>
      </c>
      <c r="B45" s="8">
        <v>1208</v>
      </c>
      <c r="C45">
        <v>97</v>
      </c>
    </row>
    <row r="46" spans="1:3">
      <c r="A46">
        <v>14673</v>
      </c>
      <c r="B46" s="8">
        <v>1209</v>
      </c>
      <c r="C46">
        <v>313</v>
      </c>
    </row>
    <row r="47" spans="1:3">
      <c r="A47">
        <v>14673</v>
      </c>
      <c r="B47" s="8">
        <v>1210</v>
      </c>
      <c r="C47">
        <v>797</v>
      </c>
    </row>
    <row r="48" spans="1:3">
      <c r="A48">
        <v>14673</v>
      </c>
      <c r="B48" s="8">
        <v>1211</v>
      </c>
      <c r="C48">
        <v>234</v>
      </c>
    </row>
    <row r="49" spans="1:3">
      <c r="A49">
        <v>14673</v>
      </c>
      <c r="B49" s="8">
        <v>1212</v>
      </c>
      <c r="C49">
        <v>867</v>
      </c>
    </row>
    <row r="50" spans="1:3">
      <c r="A50">
        <v>14673</v>
      </c>
      <c r="B50" s="8">
        <v>1213</v>
      </c>
      <c r="C50">
        <v>516</v>
      </c>
    </row>
    <row r="51" spans="1:3">
      <c r="A51">
        <v>14673</v>
      </c>
      <c r="B51" s="8">
        <v>1214</v>
      </c>
      <c r="C51">
        <v>703</v>
      </c>
    </row>
    <row r="52" spans="1:3">
      <c r="A52">
        <v>14673</v>
      </c>
      <c r="B52" s="8">
        <v>1216</v>
      </c>
      <c r="C52">
        <v>337</v>
      </c>
    </row>
    <row r="53" spans="1:3">
      <c r="A53">
        <v>14673</v>
      </c>
      <c r="B53" s="8">
        <v>1218</v>
      </c>
      <c r="C53">
        <v>494</v>
      </c>
    </row>
    <row r="54" spans="1:3">
      <c r="A54">
        <v>14673</v>
      </c>
      <c r="B54" s="8">
        <v>1219</v>
      </c>
      <c r="C54">
        <v>789</v>
      </c>
    </row>
    <row r="55" spans="1:3">
      <c r="A55">
        <v>14673</v>
      </c>
      <c r="B55" s="8">
        <v>1220</v>
      </c>
      <c r="C55">
        <v>427</v>
      </c>
    </row>
    <row r="56" spans="1:3">
      <c r="A56">
        <v>15461</v>
      </c>
      <c r="B56" s="8">
        <v>1201</v>
      </c>
      <c r="C56">
        <v>615</v>
      </c>
    </row>
    <row r="57" spans="1:3">
      <c r="A57">
        <v>15461</v>
      </c>
      <c r="B57" s="8">
        <v>1202</v>
      </c>
      <c r="C57">
        <v>734</v>
      </c>
    </row>
    <row r="58" spans="1:3">
      <c r="A58">
        <v>15461</v>
      </c>
      <c r="B58" s="8">
        <v>1203</v>
      </c>
      <c r="C58">
        <v>457</v>
      </c>
    </row>
    <row r="59" spans="1:3">
      <c r="A59">
        <v>15461</v>
      </c>
      <c r="B59" s="8">
        <v>1204</v>
      </c>
      <c r="C59">
        <v>482</v>
      </c>
    </row>
    <row r="60" spans="1:3">
      <c r="A60">
        <v>15461</v>
      </c>
      <c r="B60" s="8">
        <v>1205</v>
      </c>
      <c r="C60">
        <v>661</v>
      </c>
    </row>
    <row r="61" spans="1:3">
      <c r="A61">
        <v>15461</v>
      </c>
      <c r="B61" s="8">
        <v>1206</v>
      </c>
      <c r="C61">
        <v>523</v>
      </c>
    </row>
    <row r="62" spans="1:3">
      <c r="A62">
        <v>15461</v>
      </c>
      <c r="B62" s="8">
        <v>1207</v>
      </c>
      <c r="C62">
        <v>656</v>
      </c>
    </row>
    <row r="63" spans="1:3">
      <c r="A63">
        <v>15461</v>
      </c>
      <c r="B63" s="8">
        <v>1208</v>
      </c>
      <c r="C63">
        <v>230</v>
      </c>
    </row>
    <row r="64" spans="1:3">
      <c r="A64">
        <v>15461</v>
      </c>
      <c r="B64" s="8">
        <v>1209</v>
      </c>
      <c r="C64">
        <v>457</v>
      </c>
    </row>
    <row r="65" spans="1:3">
      <c r="A65">
        <v>15461</v>
      </c>
      <c r="B65" s="8">
        <v>1210</v>
      </c>
      <c r="C65">
        <v>498</v>
      </c>
    </row>
    <row r="66" spans="1:3">
      <c r="A66">
        <v>15461</v>
      </c>
      <c r="B66" s="8">
        <v>1211</v>
      </c>
      <c r="C66">
        <v>378</v>
      </c>
    </row>
    <row r="67" spans="1:3">
      <c r="A67">
        <v>15461</v>
      </c>
      <c r="B67" s="8">
        <v>1212</v>
      </c>
      <c r="C67">
        <v>594</v>
      </c>
    </row>
    <row r="68" spans="1:3">
      <c r="A68">
        <v>15461</v>
      </c>
      <c r="B68" s="8">
        <v>1213</v>
      </c>
      <c r="C68">
        <v>343</v>
      </c>
    </row>
    <row r="69" spans="1:3">
      <c r="A69">
        <v>15461</v>
      </c>
      <c r="B69" s="8">
        <v>1214</v>
      </c>
      <c r="C69">
        <v>404</v>
      </c>
    </row>
    <row r="70" spans="1:3">
      <c r="A70">
        <v>15461</v>
      </c>
      <c r="B70" s="8">
        <v>1216</v>
      </c>
      <c r="C70">
        <v>360</v>
      </c>
    </row>
    <row r="71" spans="1:3">
      <c r="A71">
        <v>15461</v>
      </c>
      <c r="B71" s="8">
        <v>1218</v>
      </c>
      <c r="C71">
        <v>195</v>
      </c>
    </row>
    <row r="72" spans="1:3">
      <c r="A72">
        <v>15461</v>
      </c>
      <c r="B72" s="8">
        <v>1219</v>
      </c>
      <c r="C72">
        <v>489</v>
      </c>
    </row>
    <row r="73" spans="1:3">
      <c r="A73">
        <v>15461</v>
      </c>
      <c r="B73" s="8">
        <v>1220</v>
      </c>
      <c r="C73">
        <v>412</v>
      </c>
    </row>
    <row r="74" spans="1:3">
      <c r="A74">
        <v>16783</v>
      </c>
      <c r="B74" s="8">
        <v>1201</v>
      </c>
      <c r="C74">
        <v>511</v>
      </c>
    </row>
    <row r="75" spans="1:3">
      <c r="A75">
        <v>16783</v>
      </c>
      <c r="B75" s="8">
        <v>1202</v>
      </c>
      <c r="C75">
        <v>806</v>
      </c>
    </row>
    <row r="76" spans="1:3">
      <c r="A76">
        <v>16783</v>
      </c>
      <c r="B76" s="8">
        <v>1203</v>
      </c>
      <c r="C76">
        <v>161</v>
      </c>
    </row>
    <row r="77" spans="1:3">
      <c r="A77">
        <v>16783</v>
      </c>
      <c r="B77" s="8">
        <v>1204</v>
      </c>
      <c r="C77">
        <v>779</v>
      </c>
    </row>
    <row r="78" spans="1:3">
      <c r="A78">
        <v>16783</v>
      </c>
      <c r="B78" s="8">
        <v>1205</v>
      </c>
      <c r="C78">
        <v>371</v>
      </c>
    </row>
    <row r="79" spans="1:3">
      <c r="A79">
        <v>16783</v>
      </c>
      <c r="B79" s="8">
        <v>1206</v>
      </c>
      <c r="C79">
        <v>227</v>
      </c>
    </row>
    <row r="80" spans="1:3">
      <c r="A80">
        <v>16783</v>
      </c>
      <c r="B80" s="8">
        <v>1207</v>
      </c>
      <c r="C80">
        <v>359</v>
      </c>
    </row>
    <row r="81" spans="1:3">
      <c r="A81">
        <v>16783</v>
      </c>
      <c r="B81" s="8">
        <v>1208</v>
      </c>
      <c r="C81">
        <v>527</v>
      </c>
    </row>
    <row r="82" spans="1:3">
      <c r="A82">
        <v>16783</v>
      </c>
      <c r="B82" s="8">
        <v>1209</v>
      </c>
      <c r="C82">
        <v>754</v>
      </c>
    </row>
    <row r="83" spans="1:3">
      <c r="A83">
        <v>16783</v>
      </c>
      <c r="B83" s="8">
        <v>1210</v>
      </c>
      <c r="C83">
        <v>489</v>
      </c>
    </row>
    <row r="84" spans="1:3">
      <c r="A84">
        <v>16783</v>
      </c>
      <c r="B84" s="8">
        <v>1211</v>
      </c>
      <c r="C84">
        <v>675</v>
      </c>
    </row>
    <row r="85" spans="1:3">
      <c r="A85">
        <v>16783</v>
      </c>
      <c r="B85" s="8">
        <v>1212</v>
      </c>
      <c r="C85">
        <v>297</v>
      </c>
    </row>
    <row r="86" spans="1:3">
      <c r="A86">
        <v>16783</v>
      </c>
      <c r="B86" s="8">
        <v>1213</v>
      </c>
      <c r="C86">
        <v>238</v>
      </c>
    </row>
    <row r="87" spans="1:3">
      <c r="A87">
        <v>16783</v>
      </c>
      <c r="B87" s="8">
        <v>1214</v>
      </c>
      <c r="C87">
        <v>301</v>
      </c>
    </row>
    <row r="88" spans="1:3">
      <c r="A88">
        <v>16783</v>
      </c>
      <c r="B88" s="8">
        <v>1216</v>
      </c>
      <c r="C88">
        <v>414</v>
      </c>
    </row>
    <row r="89" spans="1:3">
      <c r="A89">
        <v>16783</v>
      </c>
      <c r="B89" s="8">
        <v>1218</v>
      </c>
      <c r="C89">
        <v>150</v>
      </c>
    </row>
    <row r="90" spans="1:3">
      <c r="A90">
        <v>16783</v>
      </c>
      <c r="B90" s="8">
        <v>1219</v>
      </c>
      <c r="C90">
        <v>204</v>
      </c>
    </row>
    <row r="91" spans="1:3">
      <c r="A91">
        <v>16783</v>
      </c>
      <c r="B91" s="8">
        <v>1220</v>
      </c>
      <c r="C91">
        <v>325</v>
      </c>
    </row>
    <row r="92" spans="1:3">
      <c r="A92">
        <v>12576</v>
      </c>
      <c r="B92">
        <v>1500</v>
      </c>
      <c r="C92">
        <v>504</v>
      </c>
    </row>
    <row r="93" spans="1:3">
      <c r="A93">
        <v>13456</v>
      </c>
      <c r="B93">
        <v>1500</v>
      </c>
      <c r="C93">
        <v>197</v>
      </c>
    </row>
    <row r="94" spans="1:3">
      <c r="A94">
        <v>14673</v>
      </c>
      <c r="B94">
        <v>1500</v>
      </c>
      <c r="C94">
        <v>735</v>
      </c>
    </row>
    <row r="95" spans="1:3">
      <c r="A95">
        <v>15461</v>
      </c>
      <c r="B95">
        <v>1500</v>
      </c>
      <c r="C95">
        <v>429</v>
      </c>
    </row>
    <row r="96" spans="1:3">
      <c r="A96">
        <v>16783</v>
      </c>
      <c r="B96">
        <v>1500</v>
      </c>
      <c r="C96">
        <v>134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6629-D33A-A742-80F9-D1ECAA1D1DF6}">
  <sheetPr>
    <tabColor rgb="FFFEF2CB"/>
  </sheetPr>
  <dimension ref="A1:D9"/>
  <sheetViews>
    <sheetView workbookViewId="0">
      <selection activeCell="J14" sqref="I9:J14"/>
    </sheetView>
  </sheetViews>
  <sheetFormatPr baseColWidth="10" defaultColWidth="10.77734375" defaultRowHeight="14.4"/>
  <cols>
    <col min="1" max="1" width="16.44140625" customWidth="1"/>
    <col min="2" max="2" width="18.44140625" customWidth="1"/>
    <col min="3" max="3" width="24.44140625" customWidth="1"/>
    <col min="4" max="4" width="11.6640625" bestFit="1" customWidth="1"/>
  </cols>
  <sheetData>
    <row r="1" spans="1:4">
      <c r="A1" s="4" t="s">
        <v>113</v>
      </c>
      <c r="B1" s="4" t="s">
        <v>115</v>
      </c>
      <c r="C1" s="4" t="s">
        <v>105</v>
      </c>
      <c r="D1" t="s">
        <v>183</v>
      </c>
    </row>
    <row r="2" spans="1:4">
      <c r="A2" t="s">
        <v>97</v>
      </c>
      <c r="B2" s="60">
        <v>60</v>
      </c>
      <c r="C2" s="60">
        <v>1.03</v>
      </c>
      <c r="D2" s="115">
        <f>Table3[[#This Row],[Prix Fixe €]]+Table3[[#This Row],[€/km au-delà fixe]]*DRP_V2!$H$28</f>
        <v>60</v>
      </c>
    </row>
    <row r="3" spans="1:4">
      <c r="A3" t="s">
        <v>98</v>
      </c>
      <c r="B3" s="60">
        <v>75</v>
      </c>
      <c r="C3" s="60">
        <v>1</v>
      </c>
      <c r="D3" s="115">
        <f>Table3[[#This Row],[Prix Fixe €]]+Table3[[#This Row],[€/km au-delà fixe]]*DRP_V2!$H$28</f>
        <v>75</v>
      </c>
    </row>
    <row r="4" spans="1:4">
      <c r="A4" t="s">
        <v>99</v>
      </c>
      <c r="B4" s="60">
        <v>34</v>
      </c>
      <c r="C4" s="60">
        <v>1.22</v>
      </c>
      <c r="D4" s="115">
        <f>Table3[[#This Row],[Prix Fixe €]]+Table3[[#This Row],[€/km au-delà fixe]]*DRP_V2!$H$28</f>
        <v>34</v>
      </c>
    </row>
    <row r="5" spans="1:4">
      <c r="A5" t="s">
        <v>100</v>
      </c>
      <c r="B5" s="60">
        <v>55</v>
      </c>
      <c r="C5" s="60">
        <v>1.04</v>
      </c>
      <c r="D5" s="115">
        <f>Table3[[#This Row],[Prix Fixe €]]+Table3[[#This Row],[€/km au-delà fixe]]*DRP_V2!$H$28</f>
        <v>55</v>
      </c>
    </row>
    <row r="6" spans="1:4">
      <c r="A6" t="s">
        <v>101</v>
      </c>
      <c r="B6" s="60">
        <v>45</v>
      </c>
      <c r="C6" s="60">
        <v>1.2</v>
      </c>
      <c r="D6" s="115">
        <f>Table3[[#This Row],[Prix Fixe €]]+Table3[[#This Row],[€/km au-delà fixe]]*DRP_V2!$H$28</f>
        <v>45</v>
      </c>
    </row>
    <row r="7" spans="1:4">
      <c r="A7" t="s">
        <v>102</v>
      </c>
      <c r="B7" s="60">
        <v>68</v>
      </c>
      <c r="C7" s="60">
        <v>1.01</v>
      </c>
      <c r="D7" s="115">
        <f>Table3[[#This Row],[Prix Fixe €]]+Table3[[#This Row],[€/km au-delà fixe]]*DRP_V2!$H$28</f>
        <v>68</v>
      </c>
    </row>
    <row r="8" spans="1:4">
      <c r="A8" t="s">
        <v>103</v>
      </c>
      <c r="B8" s="60">
        <v>0</v>
      </c>
      <c r="C8" s="60">
        <v>1.2</v>
      </c>
      <c r="D8" s="115">
        <f>Table3[[#This Row],[Prix Fixe €]]+Table3[[#This Row],[€/km au-delà fixe]]*DRP_V2!$H$28</f>
        <v>0</v>
      </c>
    </row>
    <row r="9" spans="1:4">
      <c r="A9" t="s">
        <v>104</v>
      </c>
      <c r="B9" s="60">
        <v>15</v>
      </c>
      <c r="C9" s="60">
        <v>1.23</v>
      </c>
      <c r="D9" s="115">
        <f>Table3[[#This Row],[Prix Fixe €]]+Table3[[#This Row],[€/km au-delà fixe]]*DRP_V2!$H$28</f>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Z4102"/>
  <sheetViews>
    <sheetView workbookViewId="0">
      <selection activeCell="A5" sqref="A5"/>
    </sheetView>
  </sheetViews>
  <sheetFormatPr baseColWidth="10" defaultColWidth="14.44140625" defaultRowHeight="15" customHeight="1"/>
  <cols>
    <col min="1" max="1" width="15.109375" customWidth="1"/>
    <col min="2" max="2" width="16.44140625" customWidth="1"/>
    <col min="3" max="3" width="18.109375" customWidth="1"/>
    <col min="4" max="4" width="26.77734375" customWidth="1"/>
    <col min="5" max="26" width="8.6640625" customWidth="1"/>
  </cols>
  <sheetData>
    <row r="1" spans="1:26" ht="30.75" customHeight="1">
      <c r="A1" s="10" t="s">
        <v>38</v>
      </c>
      <c r="B1" s="10" t="s">
        <v>0</v>
      </c>
      <c r="C1" s="11" t="s">
        <v>58</v>
      </c>
      <c r="D1" s="10" t="s">
        <v>59</v>
      </c>
      <c r="E1" s="12" t="s">
        <v>92</v>
      </c>
      <c r="F1" s="12"/>
      <c r="G1" s="12"/>
      <c r="H1" s="12"/>
      <c r="I1" s="12"/>
      <c r="J1" s="12"/>
      <c r="K1" s="12"/>
      <c r="L1" s="12"/>
      <c r="M1" s="12"/>
      <c r="N1" s="12"/>
      <c r="O1" s="12"/>
      <c r="P1" s="12"/>
      <c r="Q1" s="12"/>
      <c r="R1" s="12"/>
      <c r="S1" s="12"/>
      <c r="T1" s="12"/>
      <c r="U1" s="12"/>
      <c r="V1" s="12"/>
      <c r="W1" s="12"/>
      <c r="X1" s="12"/>
      <c r="Y1" s="12"/>
      <c r="Z1" s="12"/>
    </row>
    <row r="2" spans="1:26" ht="14.25" customHeight="1">
      <c r="A2" s="13">
        <v>1201</v>
      </c>
      <c r="B2" s="13">
        <v>23393</v>
      </c>
      <c r="C2" s="14">
        <v>44739</v>
      </c>
      <c r="D2" s="15">
        <v>102</v>
      </c>
      <c r="E2" t="str">
        <f>A2&amp;"-"&amp;B2&amp;"-"&amp;INT(C2)</f>
        <v>1201-23393-44739</v>
      </c>
    </row>
    <row r="3" spans="1:26" ht="14.25" customHeight="1">
      <c r="A3" s="13">
        <v>1201</v>
      </c>
      <c r="B3" s="13">
        <v>23393</v>
      </c>
      <c r="C3" s="14">
        <v>44746</v>
      </c>
      <c r="D3" s="15">
        <v>354</v>
      </c>
      <c r="E3" t="str">
        <f t="shared" ref="E3:E66" si="0">A3&amp;"-"&amp;B3&amp;"-"&amp;INT(C3)</f>
        <v>1201-23393-44746</v>
      </c>
    </row>
    <row r="4" spans="1:26" ht="14.25" customHeight="1">
      <c r="A4" s="13">
        <v>1201</v>
      </c>
      <c r="B4" s="13">
        <v>23393</v>
      </c>
      <c r="C4" s="14">
        <v>44753</v>
      </c>
      <c r="D4" s="15">
        <v>168</v>
      </c>
      <c r="E4" t="str">
        <f t="shared" si="0"/>
        <v>1201-23393-44753</v>
      </c>
    </row>
    <row r="5" spans="1:26" ht="14.25" customHeight="1">
      <c r="A5" s="13">
        <v>1201</v>
      </c>
      <c r="B5" s="13">
        <v>23393</v>
      </c>
      <c r="C5" s="14">
        <v>44760</v>
      </c>
      <c r="D5" s="15">
        <v>296</v>
      </c>
      <c r="E5" t="str">
        <f t="shared" si="0"/>
        <v>1201-23393-44760</v>
      </c>
    </row>
    <row r="6" spans="1:26" ht="14.25" customHeight="1">
      <c r="A6" s="13">
        <v>1201</v>
      </c>
      <c r="B6" s="13">
        <v>23393</v>
      </c>
      <c r="C6" s="14">
        <v>44767</v>
      </c>
      <c r="D6" s="15">
        <v>110</v>
      </c>
      <c r="E6" t="str">
        <f t="shared" si="0"/>
        <v>1201-23393-44767</v>
      </c>
    </row>
    <row r="7" spans="1:26" ht="14.25" customHeight="1">
      <c r="A7" s="13">
        <v>1201</v>
      </c>
      <c r="B7" s="13">
        <v>23393</v>
      </c>
      <c r="C7" s="14">
        <v>44774</v>
      </c>
      <c r="D7" s="15">
        <v>100</v>
      </c>
      <c r="E7" t="str">
        <f t="shared" si="0"/>
        <v>1201-23393-44774</v>
      </c>
    </row>
    <row r="8" spans="1:26" ht="14.25" customHeight="1">
      <c r="A8" s="13">
        <v>1201</v>
      </c>
      <c r="B8" s="13">
        <v>23393</v>
      </c>
      <c r="C8" s="14">
        <v>44781</v>
      </c>
      <c r="D8" s="15">
        <v>105</v>
      </c>
      <c r="E8" t="str">
        <f t="shared" si="0"/>
        <v>1201-23393-44781</v>
      </c>
    </row>
    <row r="9" spans="1:26" ht="14.25" customHeight="1">
      <c r="A9" s="13">
        <v>1201</v>
      </c>
      <c r="B9" s="13">
        <v>23393</v>
      </c>
      <c r="C9" s="14">
        <v>44788</v>
      </c>
      <c r="D9" s="15">
        <v>246</v>
      </c>
      <c r="E9" t="str">
        <f t="shared" si="0"/>
        <v>1201-23393-44788</v>
      </c>
    </row>
    <row r="10" spans="1:26" ht="14.25" customHeight="1">
      <c r="A10" s="13">
        <v>1201</v>
      </c>
      <c r="B10" s="13">
        <v>26764</v>
      </c>
      <c r="C10" s="14">
        <v>44739</v>
      </c>
      <c r="D10" s="15">
        <v>111</v>
      </c>
      <c r="E10" t="str">
        <f t="shared" si="0"/>
        <v>1201-26764-44739</v>
      </c>
    </row>
    <row r="11" spans="1:26" ht="14.25" customHeight="1">
      <c r="A11" s="13">
        <v>1201</v>
      </c>
      <c r="B11" s="13">
        <v>26764</v>
      </c>
      <c r="C11" s="14">
        <v>44746</v>
      </c>
      <c r="D11" s="15">
        <v>106</v>
      </c>
      <c r="E11" t="str">
        <f t="shared" si="0"/>
        <v>1201-26764-44746</v>
      </c>
    </row>
    <row r="12" spans="1:26" ht="14.25" customHeight="1">
      <c r="A12" s="13">
        <v>1201</v>
      </c>
      <c r="B12" s="13">
        <v>26764</v>
      </c>
      <c r="C12" s="14">
        <v>44753</v>
      </c>
      <c r="D12" s="15">
        <v>138</v>
      </c>
      <c r="E12" t="str">
        <f t="shared" si="0"/>
        <v>1201-26764-44753</v>
      </c>
    </row>
    <row r="13" spans="1:26" ht="14.25" customHeight="1">
      <c r="A13" s="13">
        <v>1201</v>
      </c>
      <c r="B13" s="13">
        <v>26764</v>
      </c>
      <c r="C13" s="14">
        <v>44760</v>
      </c>
      <c r="D13" s="15">
        <v>107</v>
      </c>
      <c r="E13" t="str">
        <f t="shared" si="0"/>
        <v>1201-26764-44760</v>
      </c>
    </row>
    <row r="14" spans="1:26" ht="14.25" customHeight="1">
      <c r="A14" s="13">
        <v>1201</v>
      </c>
      <c r="B14" s="13">
        <v>26764</v>
      </c>
      <c r="C14" s="14">
        <v>44767</v>
      </c>
      <c r="D14" s="15">
        <v>112</v>
      </c>
      <c r="E14" t="str">
        <f t="shared" si="0"/>
        <v>1201-26764-44767</v>
      </c>
    </row>
    <row r="15" spans="1:26" ht="14.25" customHeight="1">
      <c r="A15" s="13">
        <v>1201</v>
      </c>
      <c r="B15" s="13">
        <v>26764</v>
      </c>
      <c r="C15" s="14">
        <v>44774</v>
      </c>
      <c r="D15" s="15">
        <v>497</v>
      </c>
      <c r="E15" t="str">
        <f t="shared" si="0"/>
        <v>1201-26764-44774</v>
      </c>
    </row>
    <row r="16" spans="1:26" ht="14.25" customHeight="1">
      <c r="A16" s="13">
        <v>1201</v>
      </c>
      <c r="B16" s="13">
        <v>26764</v>
      </c>
      <c r="C16" s="14">
        <v>44781</v>
      </c>
      <c r="D16" s="15">
        <v>597</v>
      </c>
      <c r="E16" t="str">
        <f t="shared" si="0"/>
        <v>1201-26764-44781</v>
      </c>
    </row>
    <row r="17" spans="1:5" ht="14.25" customHeight="1">
      <c r="A17" s="13">
        <v>1201</v>
      </c>
      <c r="B17" s="13">
        <v>26764</v>
      </c>
      <c r="C17" s="14">
        <v>44788</v>
      </c>
      <c r="D17" s="15">
        <v>109</v>
      </c>
      <c r="E17" t="str">
        <f t="shared" si="0"/>
        <v>1201-26764-44788</v>
      </c>
    </row>
    <row r="18" spans="1:5" ht="14.25" customHeight="1">
      <c r="A18" s="13">
        <v>1201</v>
      </c>
      <c r="B18" s="13">
        <v>53934</v>
      </c>
      <c r="C18" s="14">
        <v>44739</v>
      </c>
      <c r="D18" s="15">
        <v>363</v>
      </c>
      <c r="E18" t="str">
        <f t="shared" si="0"/>
        <v>1201-53934-44739</v>
      </c>
    </row>
    <row r="19" spans="1:5" ht="14.25" customHeight="1">
      <c r="A19" s="13">
        <v>1201</v>
      </c>
      <c r="B19" s="13">
        <v>53934</v>
      </c>
      <c r="C19" s="14">
        <v>44746</v>
      </c>
      <c r="D19" s="15">
        <v>411</v>
      </c>
      <c r="E19" t="str">
        <f t="shared" si="0"/>
        <v>1201-53934-44746</v>
      </c>
    </row>
    <row r="20" spans="1:5" ht="14.25" customHeight="1">
      <c r="A20" s="13">
        <v>1201</v>
      </c>
      <c r="B20" s="13">
        <v>53934</v>
      </c>
      <c r="C20" s="14">
        <v>44753</v>
      </c>
      <c r="D20" s="15">
        <v>459</v>
      </c>
      <c r="E20" t="str">
        <f t="shared" si="0"/>
        <v>1201-53934-44753</v>
      </c>
    </row>
    <row r="21" spans="1:5" ht="14.25" customHeight="1">
      <c r="A21" s="13">
        <v>1201</v>
      </c>
      <c r="B21" s="13">
        <v>53934</v>
      </c>
      <c r="C21" s="14">
        <v>44760</v>
      </c>
      <c r="D21" s="15">
        <v>450</v>
      </c>
      <c r="E21" t="str">
        <f t="shared" si="0"/>
        <v>1201-53934-44760</v>
      </c>
    </row>
    <row r="22" spans="1:5" ht="14.25" customHeight="1">
      <c r="A22" s="13">
        <v>1201</v>
      </c>
      <c r="B22" s="13">
        <v>53934</v>
      </c>
      <c r="C22" s="14">
        <v>44767</v>
      </c>
      <c r="D22" s="15">
        <v>448</v>
      </c>
      <c r="E22" t="str">
        <f t="shared" si="0"/>
        <v>1201-53934-44767</v>
      </c>
    </row>
    <row r="23" spans="1:5" ht="14.25" customHeight="1">
      <c r="A23" s="13">
        <v>1201</v>
      </c>
      <c r="B23" s="13">
        <v>53934</v>
      </c>
      <c r="C23" s="14">
        <v>44774</v>
      </c>
      <c r="D23" s="15">
        <v>523</v>
      </c>
      <c r="E23" t="str">
        <f t="shared" si="0"/>
        <v>1201-53934-44774</v>
      </c>
    </row>
    <row r="24" spans="1:5" ht="14.25" customHeight="1">
      <c r="A24" s="13">
        <v>1201</v>
      </c>
      <c r="B24" s="13">
        <v>53934</v>
      </c>
      <c r="C24" s="14">
        <v>44781</v>
      </c>
      <c r="D24" s="15">
        <v>310</v>
      </c>
      <c r="E24" t="str">
        <f t="shared" si="0"/>
        <v>1201-53934-44781</v>
      </c>
    </row>
    <row r="25" spans="1:5" ht="14.25" customHeight="1">
      <c r="A25" s="13">
        <v>1201</v>
      </c>
      <c r="B25" s="13">
        <v>53934</v>
      </c>
      <c r="C25" s="14">
        <v>44788</v>
      </c>
      <c r="D25" s="15">
        <v>463</v>
      </c>
      <c r="E25" t="str">
        <f t="shared" si="0"/>
        <v>1201-53934-44788</v>
      </c>
    </row>
    <row r="26" spans="1:5" ht="14.25" customHeight="1">
      <c r="A26" s="13">
        <v>1201</v>
      </c>
      <c r="B26" s="13">
        <v>78699</v>
      </c>
      <c r="C26" s="14">
        <v>44739</v>
      </c>
      <c r="D26" s="15">
        <v>17</v>
      </c>
      <c r="E26" t="str">
        <f t="shared" si="0"/>
        <v>1201-78699-44739</v>
      </c>
    </row>
    <row r="27" spans="1:5" ht="14.25" customHeight="1">
      <c r="A27" s="13">
        <v>1201</v>
      </c>
      <c r="B27" s="13">
        <v>78699</v>
      </c>
      <c r="C27" s="14">
        <v>44746</v>
      </c>
      <c r="D27" s="15">
        <v>27</v>
      </c>
      <c r="E27" t="str">
        <f t="shared" si="0"/>
        <v>1201-78699-44746</v>
      </c>
    </row>
    <row r="28" spans="1:5" ht="14.25" customHeight="1">
      <c r="A28" s="13">
        <v>1201</v>
      </c>
      <c r="B28" s="13">
        <v>78699</v>
      </c>
      <c r="C28" s="14">
        <v>44753</v>
      </c>
      <c r="D28" s="15">
        <v>24</v>
      </c>
      <c r="E28" t="str">
        <f t="shared" si="0"/>
        <v>1201-78699-44753</v>
      </c>
    </row>
    <row r="29" spans="1:5" ht="14.25" customHeight="1">
      <c r="A29" s="13">
        <v>1201</v>
      </c>
      <c r="B29" s="13">
        <v>78699</v>
      </c>
      <c r="C29" s="14">
        <v>44760</v>
      </c>
      <c r="D29" s="15">
        <v>24</v>
      </c>
      <c r="E29" t="str">
        <f t="shared" si="0"/>
        <v>1201-78699-44760</v>
      </c>
    </row>
    <row r="30" spans="1:5" ht="14.25" customHeight="1">
      <c r="A30" s="13">
        <v>1201</v>
      </c>
      <c r="B30" s="13">
        <v>78699</v>
      </c>
      <c r="C30" s="14">
        <v>44767</v>
      </c>
      <c r="D30" s="15">
        <v>21</v>
      </c>
      <c r="E30" t="str">
        <f t="shared" si="0"/>
        <v>1201-78699-44767</v>
      </c>
    </row>
    <row r="31" spans="1:5" ht="14.25" customHeight="1">
      <c r="A31" s="13">
        <v>1201</v>
      </c>
      <c r="B31" s="13">
        <v>78699</v>
      </c>
      <c r="C31" s="14">
        <v>44774</v>
      </c>
      <c r="D31" s="15">
        <v>32</v>
      </c>
      <c r="E31" t="str">
        <f t="shared" si="0"/>
        <v>1201-78699-44774</v>
      </c>
    </row>
    <row r="32" spans="1:5" ht="14.25" customHeight="1">
      <c r="A32" s="13">
        <v>1201</v>
      </c>
      <c r="B32" s="13">
        <v>78699</v>
      </c>
      <c r="C32" s="14">
        <v>44781</v>
      </c>
      <c r="D32" s="15">
        <v>27</v>
      </c>
      <c r="E32" t="str">
        <f t="shared" si="0"/>
        <v>1201-78699-44781</v>
      </c>
    </row>
    <row r="33" spans="1:5" ht="14.25" customHeight="1">
      <c r="A33" s="13">
        <v>1201</v>
      </c>
      <c r="B33" s="13">
        <v>78699</v>
      </c>
      <c r="C33" s="14">
        <v>44788</v>
      </c>
      <c r="D33" s="15">
        <v>18</v>
      </c>
      <c r="E33" t="str">
        <f t="shared" si="0"/>
        <v>1201-78699-44788</v>
      </c>
    </row>
    <row r="34" spans="1:5" ht="14.25" customHeight="1">
      <c r="A34" s="13">
        <v>1201</v>
      </c>
      <c r="B34" s="13">
        <v>78869</v>
      </c>
      <c r="C34" s="14">
        <v>44739</v>
      </c>
      <c r="D34" s="15">
        <v>68</v>
      </c>
      <c r="E34" t="str">
        <f t="shared" si="0"/>
        <v>1201-78869-44739</v>
      </c>
    </row>
    <row r="35" spans="1:5" ht="14.25" customHeight="1">
      <c r="A35" s="13">
        <v>1201</v>
      </c>
      <c r="B35" s="13">
        <v>78869</v>
      </c>
      <c r="C35" s="14">
        <v>44746</v>
      </c>
      <c r="D35" s="15">
        <v>58</v>
      </c>
      <c r="E35" t="str">
        <f t="shared" si="0"/>
        <v>1201-78869-44746</v>
      </c>
    </row>
    <row r="36" spans="1:5" ht="14.25" customHeight="1">
      <c r="A36" s="13">
        <v>1201</v>
      </c>
      <c r="B36" s="13">
        <v>78869</v>
      </c>
      <c r="C36" s="14">
        <v>44753</v>
      </c>
      <c r="D36" s="15">
        <v>147</v>
      </c>
      <c r="E36" t="str">
        <f t="shared" si="0"/>
        <v>1201-78869-44753</v>
      </c>
    </row>
    <row r="37" spans="1:5" ht="14.25" customHeight="1">
      <c r="A37" s="13">
        <v>1201</v>
      </c>
      <c r="B37" s="13">
        <v>78869</v>
      </c>
      <c r="C37" s="14">
        <v>44760</v>
      </c>
      <c r="D37" s="15">
        <v>77</v>
      </c>
      <c r="E37" t="str">
        <f t="shared" si="0"/>
        <v>1201-78869-44760</v>
      </c>
    </row>
    <row r="38" spans="1:5" ht="14.25" customHeight="1">
      <c r="A38" s="13">
        <v>1201</v>
      </c>
      <c r="B38" s="13">
        <v>78869</v>
      </c>
      <c r="C38" s="14">
        <v>44767</v>
      </c>
      <c r="D38" s="15">
        <v>68</v>
      </c>
      <c r="E38" t="str">
        <f t="shared" si="0"/>
        <v>1201-78869-44767</v>
      </c>
    </row>
    <row r="39" spans="1:5" ht="14.25" customHeight="1">
      <c r="A39" s="13">
        <v>1201</v>
      </c>
      <c r="B39" s="13">
        <v>78869</v>
      </c>
      <c r="C39" s="14">
        <v>44774</v>
      </c>
      <c r="D39" s="15">
        <v>112</v>
      </c>
      <c r="E39" t="str">
        <f t="shared" si="0"/>
        <v>1201-78869-44774</v>
      </c>
    </row>
    <row r="40" spans="1:5" ht="14.25" customHeight="1">
      <c r="A40" s="13">
        <v>1201</v>
      </c>
      <c r="B40" s="13">
        <v>78869</v>
      </c>
      <c r="C40" s="14">
        <v>44781</v>
      </c>
      <c r="D40" s="15">
        <v>127</v>
      </c>
      <c r="E40" t="str">
        <f t="shared" si="0"/>
        <v>1201-78869-44781</v>
      </c>
    </row>
    <row r="41" spans="1:5" ht="14.25" customHeight="1">
      <c r="A41" s="13">
        <v>1201</v>
      </c>
      <c r="B41" s="13">
        <v>78869</v>
      </c>
      <c r="C41" s="14">
        <v>44788</v>
      </c>
      <c r="D41" s="15">
        <v>152</v>
      </c>
      <c r="E41" t="str">
        <f t="shared" si="0"/>
        <v>1201-78869-44788</v>
      </c>
    </row>
    <row r="42" spans="1:5" ht="14.25" customHeight="1">
      <c r="A42" s="13">
        <v>1201</v>
      </c>
      <c r="B42" s="13">
        <v>115600</v>
      </c>
      <c r="C42" s="14">
        <v>44739</v>
      </c>
      <c r="D42" s="15">
        <v>13</v>
      </c>
      <c r="E42" t="str">
        <f t="shared" si="0"/>
        <v>1201-115600-44739</v>
      </c>
    </row>
    <row r="43" spans="1:5" ht="14.25" customHeight="1">
      <c r="A43" s="13">
        <v>1201</v>
      </c>
      <c r="B43" s="13">
        <v>115600</v>
      </c>
      <c r="C43" s="14">
        <v>44746</v>
      </c>
      <c r="D43" s="15">
        <v>18</v>
      </c>
      <c r="E43" t="str">
        <f t="shared" si="0"/>
        <v>1201-115600-44746</v>
      </c>
    </row>
    <row r="44" spans="1:5" ht="14.25" customHeight="1">
      <c r="A44" s="13">
        <v>1201</v>
      </c>
      <c r="B44" s="13">
        <v>115600</v>
      </c>
      <c r="C44" s="14">
        <v>44753</v>
      </c>
      <c r="D44" s="15">
        <v>15</v>
      </c>
      <c r="E44" t="str">
        <f t="shared" si="0"/>
        <v>1201-115600-44753</v>
      </c>
    </row>
    <row r="45" spans="1:5" ht="14.25" customHeight="1">
      <c r="A45" s="13">
        <v>1201</v>
      </c>
      <c r="B45" s="13">
        <v>115600</v>
      </c>
      <c r="C45" s="14">
        <v>44760</v>
      </c>
      <c r="D45" s="15">
        <v>42</v>
      </c>
      <c r="E45" t="str">
        <f t="shared" si="0"/>
        <v>1201-115600-44760</v>
      </c>
    </row>
    <row r="46" spans="1:5" ht="14.25" customHeight="1">
      <c r="A46" s="13">
        <v>1201</v>
      </c>
      <c r="B46" s="13">
        <v>115600</v>
      </c>
      <c r="C46" s="14">
        <v>44767</v>
      </c>
      <c r="D46" s="15">
        <v>36</v>
      </c>
      <c r="E46" t="str">
        <f t="shared" si="0"/>
        <v>1201-115600-44767</v>
      </c>
    </row>
    <row r="47" spans="1:5" ht="14.25" customHeight="1">
      <c r="A47" s="13">
        <v>1201</v>
      </c>
      <c r="B47" s="13">
        <v>115600</v>
      </c>
      <c r="C47" s="14">
        <v>44774</v>
      </c>
      <c r="D47" s="15">
        <v>11</v>
      </c>
      <c r="E47" t="str">
        <f t="shared" si="0"/>
        <v>1201-115600-44774</v>
      </c>
    </row>
    <row r="48" spans="1:5" ht="14.25" customHeight="1">
      <c r="A48" s="13">
        <v>1201</v>
      </c>
      <c r="B48" s="13">
        <v>115600</v>
      </c>
      <c r="C48" s="14">
        <v>44781</v>
      </c>
      <c r="D48" s="15">
        <v>39</v>
      </c>
      <c r="E48" t="str">
        <f t="shared" si="0"/>
        <v>1201-115600-44781</v>
      </c>
    </row>
    <row r="49" spans="1:5" ht="14.25" customHeight="1">
      <c r="A49" s="13">
        <v>1201</v>
      </c>
      <c r="B49" s="13">
        <v>115600</v>
      </c>
      <c r="C49" s="14">
        <v>44788</v>
      </c>
      <c r="D49" s="15">
        <v>26</v>
      </c>
      <c r="E49" t="str">
        <f t="shared" si="0"/>
        <v>1201-115600-44788</v>
      </c>
    </row>
    <row r="50" spans="1:5" ht="14.25" customHeight="1">
      <c r="A50" s="13">
        <v>1201</v>
      </c>
      <c r="B50" s="13">
        <v>129208</v>
      </c>
      <c r="C50" s="14">
        <v>44739</v>
      </c>
      <c r="D50" s="15">
        <v>54</v>
      </c>
      <c r="E50" t="str">
        <f t="shared" si="0"/>
        <v>1201-129208-44739</v>
      </c>
    </row>
    <row r="51" spans="1:5" ht="14.25" customHeight="1">
      <c r="A51" s="13">
        <v>1201</v>
      </c>
      <c r="B51" s="13">
        <v>129208</v>
      </c>
      <c r="C51" s="14">
        <v>44746</v>
      </c>
      <c r="D51" s="15">
        <v>13</v>
      </c>
      <c r="E51" t="str">
        <f t="shared" si="0"/>
        <v>1201-129208-44746</v>
      </c>
    </row>
    <row r="52" spans="1:5" ht="14.25" customHeight="1">
      <c r="A52" s="13">
        <v>1201</v>
      </c>
      <c r="B52" s="13">
        <v>129208</v>
      </c>
      <c r="C52" s="14">
        <v>44753</v>
      </c>
      <c r="D52" s="15">
        <v>30</v>
      </c>
      <c r="E52" t="str">
        <f t="shared" si="0"/>
        <v>1201-129208-44753</v>
      </c>
    </row>
    <row r="53" spans="1:5" ht="14.25" customHeight="1">
      <c r="A53" s="13">
        <v>1201</v>
      </c>
      <c r="B53" s="13">
        <v>129208</v>
      </c>
      <c r="C53" s="14">
        <v>44760</v>
      </c>
      <c r="D53" s="15">
        <v>40</v>
      </c>
      <c r="E53" t="str">
        <f t="shared" si="0"/>
        <v>1201-129208-44760</v>
      </c>
    </row>
    <row r="54" spans="1:5" ht="14.25" customHeight="1">
      <c r="A54" s="13">
        <v>1201</v>
      </c>
      <c r="B54" s="13">
        <v>129208</v>
      </c>
      <c r="C54" s="14">
        <v>44767</v>
      </c>
      <c r="D54" s="15">
        <v>12</v>
      </c>
      <c r="E54" t="str">
        <f t="shared" si="0"/>
        <v>1201-129208-44767</v>
      </c>
    </row>
    <row r="55" spans="1:5" ht="14.25" customHeight="1">
      <c r="A55" s="13">
        <v>1201</v>
      </c>
      <c r="B55" s="13">
        <v>129208</v>
      </c>
      <c r="C55" s="14">
        <v>44774</v>
      </c>
      <c r="D55" s="15">
        <v>38</v>
      </c>
      <c r="E55" t="str">
        <f t="shared" si="0"/>
        <v>1201-129208-44774</v>
      </c>
    </row>
    <row r="56" spans="1:5" ht="14.25" customHeight="1">
      <c r="A56" s="13">
        <v>1201</v>
      </c>
      <c r="B56" s="13">
        <v>129208</v>
      </c>
      <c r="C56" s="14">
        <v>44781</v>
      </c>
      <c r="D56" s="15">
        <v>42</v>
      </c>
      <c r="E56" t="str">
        <f t="shared" si="0"/>
        <v>1201-129208-44781</v>
      </c>
    </row>
    <row r="57" spans="1:5" ht="14.25" customHeight="1">
      <c r="A57" s="13">
        <v>1201</v>
      </c>
      <c r="B57" s="13">
        <v>129208</v>
      </c>
      <c r="C57" s="14">
        <v>44788</v>
      </c>
      <c r="D57" s="15">
        <v>38</v>
      </c>
      <c r="E57" t="str">
        <f t="shared" si="0"/>
        <v>1201-129208-44788</v>
      </c>
    </row>
    <row r="58" spans="1:5" ht="14.25" customHeight="1">
      <c r="A58" s="13">
        <v>1201</v>
      </c>
      <c r="B58" s="13">
        <v>141622</v>
      </c>
      <c r="C58" s="14">
        <v>44739</v>
      </c>
      <c r="D58" s="15">
        <v>10</v>
      </c>
      <c r="E58" t="str">
        <f t="shared" si="0"/>
        <v>1201-141622-44739</v>
      </c>
    </row>
    <row r="59" spans="1:5" ht="14.25" customHeight="1">
      <c r="A59" s="13">
        <v>1201</v>
      </c>
      <c r="B59" s="13">
        <v>141622</v>
      </c>
      <c r="C59" s="14">
        <v>44746</v>
      </c>
      <c r="D59" s="15">
        <v>42</v>
      </c>
      <c r="E59" t="str">
        <f t="shared" si="0"/>
        <v>1201-141622-44746</v>
      </c>
    </row>
    <row r="60" spans="1:5" ht="14.25" customHeight="1">
      <c r="A60" s="13">
        <v>1201</v>
      </c>
      <c r="B60" s="13">
        <v>141622</v>
      </c>
      <c r="C60" s="14">
        <v>44753</v>
      </c>
      <c r="D60" s="15">
        <v>10</v>
      </c>
      <c r="E60" t="str">
        <f t="shared" si="0"/>
        <v>1201-141622-44753</v>
      </c>
    </row>
    <row r="61" spans="1:5" ht="14.25" customHeight="1">
      <c r="A61" s="13">
        <v>1201</v>
      </c>
      <c r="B61" s="13">
        <v>141622</v>
      </c>
      <c r="C61" s="14">
        <v>44760</v>
      </c>
      <c r="D61" s="15">
        <v>57</v>
      </c>
      <c r="E61" t="str">
        <f t="shared" si="0"/>
        <v>1201-141622-44760</v>
      </c>
    </row>
    <row r="62" spans="1:5" ht="14.25" customHeight="1">
      <c r="A62" s="13">
        <v>1201</v>
      </c>
      <c r="B62" s="13">
        <v>141622</v>
      </c>
      <c r="C62" s="14">
        <v>44767</v>
      </c>
      <c r="D62" s="15">
        <v>52</v>
      </c>
      <c r="E62" t="str">
        <f t="shared" si="0"/>
        <v>1201-141622-44767</v>
      </c>
    </row>
    <row r="63" spans="1:5" ht="14.25" customHeight="1">
      <c r="A63" s="13">
        <v>1201</v>
      </c>
      <c r="B63" s="13">
        <v>141622</v>
      </c>
      <c r="C63" s="14">
        <v>44774</v>
      </c>
      <c r="D63" s="15">
        <v>35</v>
      </c>
      <c r="E63" t="str">
        <f t="shared" si="0"/>
        <v>1201-141622-44774</v>
      </c>
    </row>
    <row r="64" spans="1:5" ht="14.25" customHeight="1">
      <c r="A64" s="13">
        <v>1201</v>
      </c>
      <c r="B64" s="13">
        <v>141622</v>
      </c>
      <c r="C64" s="14">
        <v>44781</v>
      </c>
      <c r="D64" s="15">
        <v>35</v>
      </c>
      <c r="E64" t="str">
        <f t="shared" si="0"/>
        <v>1201-141622-44781</v>
      </c>
    </row>
    <row r="65" spans="1:5" ht="14.25" customHeight="1">
      <c r="A65" s="13">
        <v>1201</v>
      </c>
      <c r="B65" s="13">
        <v>141622</v>
      </c>
      <c r="C65" s="14">
        <v>44788</v>
      </c>
      <c r="D65" s="15">
        <v>10</v>
      </c>
      <c r="E65" t="str">
        <f t="shared" si="0"/>
        <v>1201-141622-44788</v>
      </c>
    </row>
    <row r="66" spans="1:5" ht="14.25" customHeight="1">
      <c r="A66" s="13">
        <v>1201</v>
      </c>
      <c r="B66" s="13">
        <v>141626</v>
      </c>
      <c r="C66" s="14">
        <v>44739</v>
      </c>
      <c r="D66" s="15">
        <v>332</v>
      </c>
      <c r="E66" t="str">
        <f t="shared" si="0"/>
        <v>1201-141626-44739</v>
      </c>
    </row>
    <row r="67" spans="1:5" ht="14.25" customHeight="1">
      <c r="A67" s="13">
        <v>1201</v>
      </c>
      <c r="B67" s="13">
        <v>141626</v>
      </c>
      <c r="C67" s="14">
        <v>44746</v>
      </c>
      <c r="D67" s="15">
        <v>732</v>
      </c>
      <c r="E67" t="str">
        <f t="shared" ref="E67:E130" si="1">A67&amp;"-"&amp;B67&amp;"-"&amp;INT(C67)</f>
        <v>1201-141626-44746</v>
      </c>
    </row>
    <row r="68" spans="1:5" ht="14.25" customHeight="1">
      <c r="A68" s="13">
        <v>1201</v>
      </c>
      <c r="B68" s="13">
        <v>141626</v>
      </c>
      <c r="C68" s="14">
        <v>44753</v>
      </c>
      <c r="D68" s="15">
        <v>794</v>
      </c>
      <c r="E68" t="str">
        <f t="shared" si="1"/>
        <v>1201-141626-44753</v>
      </c>
    </row>
    <row r="69" spans="1:5" ht="14.25" customHeight="1">
      <c r="A69" s="13">
        <v>1201</v>
      </c>
      <c r="B69" s="13">
        <v>141626</v>
      </c>
      <c r="C69" s="14">
        <v>44760</v>
      </c>
      <c r="D69" s="15">
        <v>504</v>
      </c>
      <c r="E69" t="str">
        <f t="shared" si="1"/>
        <v>1201-141626-44760</v>
      </c>
    </row>
    <row r="70" spans="1:5" ht="14.25" customHeight="1">
      <c r="A70" s="13">
        <v>1201</v>
      </c>
      <c r="B70" s="13">
        <v>141626</v>
      </c>
      <c r="C70" s="14">
        <v>44767</v>
      </c>
      <c r="D70" s="15">
        <v>468</v>
      </c>
      <c r="E70" t="str">
        <f t="shared" si="1"/>
        <v>1201-141626-44767</v>
      </c>
    </row>
    <row r="71" spans="1:5" ht="14.25" customHeight="1">
      <c r="A71" s="13">
        <v>1201</v>
      </c>
      <c r="B71" s="13">
        <v>141626</v>
      </c>
      <c r="C71" s="14">
        <v>44774</v>
      </c>
      <c r="D71" s="15">
        <v>885</v>
      </c>
      <c r="E71" t="str">
        <f t="shared" si="1"/>
        <v>1201-141626-44774</v>
      </c>
    </row>
    <row r="72" spans="1:5" ht="14.25" customHeight="1">
      <c r="A72" s="13">
        <v>1201</v>
      </c>
      <c r="B72" s="13">
        <v>141626</v>
      </c>
      <c r="C72" s="14">
        <v>44781</v>
      </c>
      <c r="D72" s="15">
        <v>675</v>
      </c>
      <c r="E72" t="str">
        <f t="shared" si="1"/>
        <v>1201-141626-44781</v>
      </c>
    </row>
    <row r="73" spans="1:5" ht="14.25" customHeight="1">
      <c r="A73" s="13">
        <v>1201</v>
      </c>
      <c r="B73" s="13">
        <v>141626</v>
      </c>
      <c r="C73" s="14">
        <v>44788</v>
      </c>
      <c r="D73" s="15">
        <v>678</v>
      </c>
      <c r="E73" t="str">
        <f t="shared" si="1"/>
        <v>1201-141626-44788</v>
      </c>
    </row>
    <row r="74" spans="1:5" ht="14.25" customHeight="1">
      <c r="A74" s="13">
        <v>1201</v>
      </c>
      <c r="B74" s="13">
        <v>141791</v>
      </c>
      <c r="C74" s="14">
        <v>44739</v>
      </c>
      <c r="D74" s="15">
        <v>22</v>
      </c>
      <c r="E74" t="str">
        <f t="shared" si="1"/>
        <v>1201-141791-44739</v>
      </c>
    </row>
    <row r="75" spans="1:5" ht="14.25" customHeight="1">
      <c r="A75" s="13">
        <v>1201</v>
      </c>
      <c r="B75" s="13">
        <v>141791</v>
      </c>
      <c r="C75" s="14">
        <v>44746</v>
      </c>
      <c r="D75" s="15">
        <v>59</v>
      </c>
      <c r="E75" t="str">
        <f t="shared" si="1"/>
        <v>1201-141791-44746</v>
      </c>
    </row>
    <row r="76" spans="1:5" ht="14.25" customHeight="1">
      <c r="A76" s="13">
        <v>1201</v>
      </c>
      <c r="B76" s="13">
        <v>141791</v>
      </c>
      <c r="C76" s="14">
        <v>44753</v>
      </c>
      <c r="D76" s="15">
        <v>60</v>
      </c>
      <c r="E76" t="str">
        <f t="shared" si="1"/>
        <v>1201-141791-44753</v>
      </c>
    </row>
    <row r="77" spans="1:5" ht="14.25" customHeight="1">
      <c r="A77" s="13">
        <v>1201</v>
      </c>
      <c r="B77" s="13">
        <v>141791</v>
      </c>
      <c r="C77" s="14">
        <v>44760</v>
      </c>
      <c r="D77" s="15">
        <v>21</v>
      </c>
      <c r="E77" t="str">
        <f t="shared" si="1"/>
        <v>1201-141791-44760</v>
      </c>
    </row>
    <row r="78" spans="1:5" ht="14.25" customHeight="1">
      <c r="A78" s="13">
        <v>1201</v>
      </c>
      <c r="B78" s="13">
        <v>141791</v>
      </c>
      <c r="C78" s="14">
        <v>44767</v>
      </c>
      <c r="D78" s="15">
        <v>54</v>
      </c>
      <c r="E78" t="str">
        <f t="shared" si="1"/>
        <v>1201-141791-44767</v>
      </c>
    </row>
    <row r="79" spans="1:5" ht="14.25" customHeight="1">
      <c r="A79" s="13">
        <v>1201</v>
      </c>
      <c r="B79" s="13">
        <v>141791</v>
      </c>
      <c r="C79" s="14">
        <v>44774</v>
      </c>
      <c r="D79" s="15">
        <v>23</v>
      </c>
      <c r="E79" t="str">
        <f t="shared" si="1"/>
        <v>1201-141791-44774</v>
      </c>
    </row>
    <row r="80" spans="1:5" ht="14.25" customHeight="1">
      <c r="A80" s="13">
        <v>1201</v>
      </c>
      <c r="B80" s="13">
        <v>141791</v>
      </c>
      <c r="C80" s="14">
        <v>44781</v>
      </c>
      <c r="D80" s="15">
        <v>36</v>
      </c>
      <c r="E80" t="str">
        <f t="shared" si="1"/>
        <v>1201-141791-44781</v>
      </c>
    </row>
    <row r="81" spans="1:5" ht="14.25" customHeight="1">
      <c r="A81" s="13">
        <v>1201</v>
      </c>
      <c r="B81" s="13">
        <v>141791</v>
      </c>
      <c r="C81" s="14">
        <v>44788</v>
      </c>
      <c r="D81" s="15">
        <v>67</v>
      </c>
      <c r="E81" t="str">
        <f t="shared" si="1"/>
        <v>1201-141791-44788</v>
      </c>
    </row>
    <row r="82" spans="1:5" ht="14.25" customHeight="1">
      <c r="A82" s="13">
        <v>1201</v>
      </c>
      <c r="B82" s="13">
        <v>141846</v>
      </c>
      <c r="C82" s="14">
        <v>44739</v>
      </c>
      <c r="D82" s="15">
        <v>18</v>
      </c>
      <c r="E82" t="str">
        <f t="shared" si="1"/>
        <v>1201-141846-44739</v>
      </c>
    </row>
    <row r="83" spans="1:5" ht="14.25" customHeight="1">
      <c r="A83" s="13">
        <v>1201</v>
      </c>
      <c r="B83" s="13">
        <v>141846</v>
      </c>
      <c r="C83" s="14">
        <v>44746</v>
      </c>
      <c r="D83" s="15">
        <v>30</v>
      </c>
      <c r="E83" t="str">
        <f t="shared" si="1"/>
        <v>1201-141846-44746</v>
      </c>
    </row>
    <row r="84" spans="1:5" ht="14.25" customHeight="1">
      <c r="A84" s="13">
        <v>1201</v>
      </c>
      <c r="B84" s="13">
        <v>141846</v>
      </c>
      <c r="C84" s="14">
        <v>44753</v>
      </c>
      <c r="D84" s="15">
        <v>20</v>
      </c>
      <c r="E84" t="str">
        <f t="shared" si="1"/>
        <v>1201-141846-44753</v>
      </c>
    </row>
    <row r="85" spans="1:5" ht="14.25" customHeight="1">
      <c r="A85" s="13">
        <v>1201</v>
      </c>
      <c r="B85" s="13">
        <v>141846</v>
      </c>
      <c r="C85" s="14">
        <v>44760</v>
      </c>
      <c r="D85" s="15">
        <v>4</v>
      </c>
      <c r="E85" t="str">
        <f t="shared" si="1"/>
        <v>1201-141846-44760</v>
      </c>
    </row>
    <row r="86" spans="1:5" ht="14.25" customHeight="1">
      <c r="A86" s="13">
        <v>1201</v>
      </c>
      <c r="B86" s="13">
        <v>141846</v>
      </c>
      <c r="C86" s="14">
        <v>44767</v>
      </c>
      <c r="D86" s="15">
        <v>6</v>
      </c>
      <c r="E86" t="str">
        <f t="shared" si="1"/>
        <v>1201-141846-44767</v>
      </c>
    </row>
    <row r="87" spans="1:5" ht="14.25" customHeight="1">
      <c r="A87" s="13">
        <v>1201</v>
      </c>
      <c r="B87" s="13">
        <v>141846</v>
      </c>
      <c r="C87" s="14">
        <v>44774</v>
      </c>
      <c r="D87" s="15">
        <v>10</v>
      </c>
      <c r="E87" t="str">
        <f t="shared" si="1"/>
        <v>1201-141846-44774</v>
      </c>
    </row>
    <row r="88" spans="1:5" ht="14.25" customHeight="1">
      <c r="A88" s="13">
        <v>1201</v>
      </c>
      <c r="B88" s="13">
        <v>141846</v>
      </c>
      <c r="C88" s="14">
        <v>44781</v>
      </c>
      <c r="D88" s="15">
        <v>24</v>
      </c>
      <c r="E88" t="str">
        <f t="shared" si="1"/>
        <v>1201-141846-44781</v>
      </c>
    </row>
    <row r="89" spans="1:5" ht="14.25" customHeight="1">
      <c r="A89" s="13">
        <v>1201</v>
      </c>
      <c r="B89" s="13">
        <v>141846</v>
      </c>
      <c r="C89" s="14">
        <v>44788</v>
      </c>
      <c r="D89" s="15">
        <v>8</v>
      </c>
      <c r="E89" t="str">
        <f t="shared" si="1"/>
        <v>1201-141846-44788</v>
      </c>
    </row>
    <row r="90" spans="1:5" ht="14.25" customHeight="1">
      <c r="A90" s="13">
        <v>1201</v>
      </c>
      <c r="B90" s="13">
        <v>141967</v>
      </c>
      <c r="C90" s="14">
        <v>44739</v>
      </c>
      <c r="D90" s="15">
        <v>109</v>
      </c>
      <c r="E90" t="str">
        <f t="shared" si="1"/>
        <v>1201-141967-44739</v>
      </c>
    </row>
    <row r="91" spans="1:5" ht="14.25" customHeight="1">
      <c r="A91" s="13">
        <v>1201</v>
      </c>
      <c r="B91" s="13">
        <v>141967</v>
      </c>
      <c r="C91" s="14">
        <v>44746</v>
      </c>
      <c r="D91" s="15">
        <v>148</v>
      </c>
      <c r="E91" t="str">
        <f t="shared" si="1"/>
        <v>1201-141967-44746</v>
      </c>
    </row>
    <row r="92" spans="1:5" ht="14.25" customHeight="1">
      <c r="A92" s="13">
        <v>1201</v>
      </c>
      <c r="B92" s="13">
        <v>141967</v>
      </c>
      <c r="C92" s="14">
        <v>44753</v>
      </c>
      <c r="D92" s="15">
        <v>113</v>
      </c>
      <c r="E92" t="str">
        <f t="shared" si="1"/>
        <v>1201-141967-44753</v>
      </c>
    </row>
    <row r="93" spans="1:5" ht="14.25" customHeight="1">
      <c r="A93" s="13">
        <v>1201</v>
      </c>
      <c r="B93" s="13">
        <v>141967</v>
      </c>
      <c r="C93" s="14">
        <v>44760</v>
      </c>
      <c r="D93" s="15">
        <v>36</v>
      </c>
      <c r="E93" t="str">
        <f t="shared" si="1"/>
        <v>1201-141967-44760</v>
      </c>
    </row>
    <row r="94" spans="1:5" ht="14.25" customHeight="1">
      <c r="A94" s="13">
        <v>1201</v>
      </c>
      <c r="B94" s="13">
        <v>141967</v>
      </c>
      <c r="C94" s="14">
        <v>44767</v>
      </c>
      <c r="D94" s="15">
        <v>125</v>
      </c>
      <c r="E94" t="str">
        <f t="shared" si="1"/>
        <v>1201-141967-44767</v>
      </c>
    </row>
    <row r="95" spans="1:5" ht="14.25" customHeight="1">
      <c r="A95" s="13">
        <v>1201</v>
      </c>
      <c r="B95" s="13">
        <v>141967</v>
      </c>
      <c r="C95" s="14">
        <v>44774</v>
      </c>
      <c r="D95" s="15">
        <v>147</v>
      </c>
      <c r="E95" t="str">
        <f t="shared" si="1"/>
        <v>1201-141967-44774</v>
      </c>
    </row>
    <row r="96" spans="1:5" ht="14.25" customHeight="1">
      <c r="A96" s="13">
        <v>1201</v>
      </c>
      <c r="B96" s="13">
        <v>141967</v>
      </c>
      <c r="C96" s="14">
        <v>44781</v>
      </c>
      <c r="D96" s="15">
        <v>50</v>
      </c>
      <c r="E96" t="str">
        <f t="shared" si="1"/>
        <v>1201-141967-44781</v>
      </c>
    </row>
    <row r="97" spans="1:5" ht="14.25" customHeight="1">
      <c r="A97" s="13">
        <v>1201</v>
      </c>
      <c r="B97" s="13">
        <v>141967</v>
      </c>
      <c r="C97" s="14">
        <v>44788</v>
      </c>
      <c r="D97" s="15">
        <v>72</v>
      </c>
      <c r="E97" t="str">
        <f t="shared" si="1"/>
        <v>1201-141967-44788</v>
      </c>
    </row>
    <row r="98" spans="1:5" ht="14.25" customHeight="1">
      <c r="A98" s="13">
        <v>1201</v>
      </c>
      <c r="B98" s="13">
        <v>142194</v>
      </c>
      <c r="C98" s="14">
        <v>44739</v>
      </c>
      <c r="D98" s="15">
        <v>59</v>
      </c>
      <c r="E98" t="str">
        <f t="shared" si="1"/>
        <v>1201-142194-44739</v>
      </c>
    </row>
    <row r="99" spans="1:5" ht="14.25" customHeight="1">
      <c r="A99" s="13">
        <v>1201</v>
      </c>
      <c r="B99" s="13">
        <v>142194</v>
      </c>
      <c r="C99" s="14">
        <v>44746</v>
      </c>
      <c r="D99" s="15">
        <v>52</v>
      </c>
      <c r="E99" t="str">
        <f t="shared" si="1"/>
        <v>1201-142194-44746</v>
      </c>
    </row>
    <row r="100" spans="1:5" ht="14.25" customHeight="1">
      <c r="A100" s="13">
        <v>1201</v>
      </c>
      <c r="B100" s="13">
        <v>142194</v>
      </c>
      <c r="C100" s="14">
        <v>44753</v>
      </c>
      <c r="D100" s="15">
        <v>77</v>
      </c>
      <c r="E100" t="str">
        <f t="shared" si="1"/>
        <v>1201-142194-44753</v>
      </c>
    </row>
    <row r="101" spans="1:5" ht="14.25" customHeight="1">
      <c r="A101" s="13">
        <v>1201</v>
      </c>
      <c r="B101" s="13">
        <v>142194</v>
      </c>
      <c r="C101" s="14">
        <v>44760</v>
      </c>
      <c r="D101" s="15">
        <v>66</v>
      </c>
      <c r="E101" t="str">
        <f t="shared" si="1"/>
        <v>1201-142194-44760</v>
      </c>
    </row>
    <row r="102" spans="1:5" ht="14.25" customHeight="1">
      <c r="A102" s="13">
        <v>1201</v>
      </c>
      <c r="B102" s="13">
        <v>142194</v>
      </c>
      <c r="C102" s="14">
        <v>44767</v>
      </c>
      <c r="D102" s="15">
        <v>81</v>
      </c>
      <c r="E102" t="str">
        <f t="shared" si="1"/>
        <v>1201-142194-44767</v>
      </c>
    </row>
    <row r="103" spans="1:5" ht="14.25" customHeight="1">
      <c r="A103" s="13">
        <v>1201</v>
      </c>
      <c r="B103" s="13">
        <v>142194</v>
      </c>
      <c r="C103" s="14">
        <v>44774</v>
      </c>
      <c r="D103" s="15">
        <v>29</v>
      </c>
      <c r="E103" t="str">
        <f t="shared" si="1"/>
        <v>1201-142194-44774</v>
      </c>
    </row>
    <row r="104" spans="1:5" ht="14.25" customHeight="1">
      <c r="A104" s="13">
        <v>1201</v>
      </c>
      <c r="B104" s="13">
        <v>142194</v>
      </c>
      <c r="C104" s="14">
        <v>44781</v>
      </c>
      <c r="D104" s="15">
        <v>39</v>
      </c>
      <c r="E104" t="str">
        <f t="shared" si="1"/>
        <v>1201-142194-44781</v>
      </c>
    </row>
    <row r="105" spans="1:5" ht="14.25" customHeight="1">
      <c r="A105" s="13">
        <v>1201</v>
      </c>
      <c r="B105" s="13">
        <v>142194</v>
      </c>
      <c r="C105" s="14">
        <v>44788</v>
      </c>
      <c r="D105" s="15">
        <v>39</v>
      </c>
      <c r="E105" t="str">
        <f t="shared" si="1"/>
        <v>1201-142194-44788</v>
      </c>
    </row>
    <row r="106" spans="1:5" ht="14.25" customHeight="1">
      <c r="A106" s="13">
        <v>1201</v>
      </c>
      <c r="B106" s="13">
        <v>149729</v>
      </c>
      <c r="C106" s="14">
        <v>44739</v>
      </c>
      <c r="D106" s="15">
        <v>934</v>
      </c>
      <c r="E106" t="str">
        <f t="shared" si="1"/>
        <v>1201-149729-44739</v>
      </c>
    </row>
    <row r="107" spans="1:5" ht="14.25" customHeight="1">
      <c r="A107" s="13">
        <v>1201</v>
      </c>
      <c r="B107" s="13">
        <v>149729</v>
      </c>
      <c r="C107" s="14">
        <v>44746</v>
      </c>
      <c r="D107" s="15">
        <v>276</v>
      </c>
      <c r="E107" t="str">
        <f t="shared" si="1"/>
        <v>1201-149729-44746</v>
      </c>
    </row>
    <row r="108" spans="1:5" ht="14.25" customHeight="1">
      <c r="A108" s="13">
        <v>1201</v>
      </c>
      <c r="B108" s="13">
        <v>149729</v>
      </c>
      <c r="C108" s="14">
        <v>44753</v>
      </c>
      <c r="D108" s="15">
        <v>1032</v>
      </c>
      <c r="E108" t="str">
        <f t="shared" si="1"/>
        <v>1201-149729-44753</v>
      </c>
    </row>
    <row r="109" spans="1:5" ht="14.25" customHeight="1">
      <c r="A109" s="13">
        <v>1201</v>
      </c>
      <c r="B109" s="13">
        <v>149729</v>
      </c>
      <c r="C109" s="14">
        <v>44760</v>
      </c>
      <c r="D109" s="15">
        <v>280</v>
      </c>
      <c r="E109" t="str">
        <f t="shared" si="1"/>
        <v>1201-149729-44760</v>
      </c>
    </row>
    <row r="110" spans="1:5" ht="14.25" customHeight="1">
      <c r="A110" s="13">
        <v>1201</v>
      </c>
      <c r="B110" s="13">
        <v>149729</v>
      </c>
      <c r="C110" s="14">
        <v>44767</v>
      </c>
      <c r="D110" s="15">
        <v>270</v>
      </c>
      <c r="E110" t="str">
        <f t="shared" si="1"/>
        <v>1201-149729-44767</v>
      </c>
    </row>
    <row r="111" spans="1:5" ht="14.25" customHeight="1">
      <c r="A111" s="13">
        <v>1201</v>
      </c>
      <c r="B111" s="13">
        <v>149729</v>
      </c>
      <c r="C111" s="14">
        <v>44774</v>
      </c>
      <c r="D111" s="15">
        <v>876</v>
      </c>
      <c r="E111" t="str">
        <f t="shared" si="1"/>
        <v>1201-149729-44774</v>
      </c>
    </row>
    <row r="112" spans="1:5" ht="14.25" customHeight="1">
      <c r="A112" s="13">
        <v>1201</v>
      </c>
      <c r="B112" s="13">
        <v>149729</v>
      </c>
      <c r="C112" s="14">
        <v>44781</v>
      </c>
      <c r="D112" s="15">
        <v>813</v>
      </c>
      <c r="E112" t="str">
        <f t="shared" si="1"/>
        <v>1201-149729-44781</v>
      </c>
    </row>
    <row r="113" spans="1:5" ht="14.25" customHeight="1">
      <c r="A113" s="13">
        <v>1201</v>
      </c>
      <c r="B113" s="13">
        <v>149729</v>
      </c>
      <c r="C113" s="14">
        <v>44788</v>
      </c>
      <c r="D113" s="15">
        <v>212</v>
      </c>
      <c r="E113" t="str">
        <f t="shared" si="1"/>
        <v>1201-149729-44788</v>
      </c>
    </row>
    <row r="114" spans="1:5" ht="14.25" customHeight="1">
      <c r="A114" s="13">
        <v>1201</v>
      </c>
      <c r="B114" s="13">
        <v>149779</v>
      </c>
      <c r="C114" s="14">
        <v>44739</v>
      </c>
      <c r="D114" s="15">
        <v>1101</v>
      </c>
      <c r="E114" t="str">
        <f t="shared" si="1"/>
        <v>1201-149779-44739</v>
      </c>
    </row>
    <row r="115" spans="1:5" ht="14.25" customHeight="1">
      <c r="A115" s="13">
        <v>1201</v>
      </c>
      <c r="B115" s="13">
        <v>149779</v>
      </c>
      <c r="C115" s="14">
        <v>44746</v>
      </c>
      <c r="D115" s="15">
        <v>1479</v>
      </c>
      <c r="E115" t="str">
        <f t="shared" si="1"/>
        <v>1201-149779-44746</v>
      </c>
    </row>
    <row r="116" spans="1:5" ht="14.25" customHeight="1">
      <c r="A116" s="13">
        <v>1201</v>
      </c>
      <c r="B116" s="13">
        <v>149779</v>
      </c>
      <c r="C116" s="14">
        <v>44753</v>
      </c>
      <c r="D116" s="15">
        <v>1246</v>
      </c>
      <c r="E116" t="str">
        <f t="shared" si="1"/>
        <v>1201-149779-44753</v>
      </c>
    </row>
    <row r="117" spans="1:5" ht="14.25" customHeight="1">
      <c r="A117" s="13">
        <v>1201</v>
      </c>
      <c r="B117" s="13">
        <v>149779</v>
      </c>
      <c r="C117" s="14">
        <v>44760</v>
      </c>
      <c r="D117" s="15">
        <v>949</v>
      </c>
      <c r="E117" t="str">
        <f t="shared" si="1"/>
        <v>1201-149779-44760</v>
      </c>
    </row>
    <row r="118" spans="1:5" ht="14.25" customHeight="1">
      <c r="A118" s="13">
        <v>1201</v>
      </c>
      <c r="B118" s="13">
        <v>149779</v>
      </c>
      <c r="C118" s="14">
        <v>44767</v>
      </c>
      <c r="D118" s="15">
        <v>1134</v>
      </c>
      <c r="E118" t="str">
        <f t="shared" si="1"/>
        <v>1201-149779-44767</v>
      </c>
    </row>
    <row r="119" spans="1:5" ht="14.25" customHeight="1">
      <c r="A119" s="13">
        <v>1201</v>
      </c>
      <c r="B119" s="13">
        <v>149779</v>
      </c>
      <c r="C119" s="14">
        <v>44774</v>
      </c>
      <c r="D119" s="15">
        <v>308</v>
      </c>
      <c r="E119" t="str">
        <f t="shared" si="1"/>
        <v>1201-149779-44774</v>
      </c>
    </row>
    <row r="120" spans="1:5" ht="14.25" customHeight="1">
      <c r="A120" s="13">
        <v>1201</v>
      </c>
      <c r="B120" s="13">
        <v>149779</v>
      </c>
      <c r="C120" s="14">
        <v>44781</v>
      </c>
      <c r="D120" s="15">
        <v>304</v>
      </c>
      <c r="E120" t="str">
        <f t="shared" si="1"/>
        <v>1201-149779-44781</v>
      </c>
    </row>
    <row r="121" spans="1:5" ht="14.25" customHeight="1">
      <c r="A121" s="13">
        <v>1201</v>
      </c>
      <c r="B121" s="13">
        <v>149779</v>
      </c>
      <c r="C121" s="14">
        <v>44788</v>
      </c>
      <c r="D121" s="15">
        <v>303</v>
      </c>
      <c r="E121" t="str">
        <f t="shared" si="1"/>
        <v>1201-149779-44788</v>
      </c>
    </row>
    <row r="122" spans="1:5" ht="14.25" customHeight="1">
      <c r="A122" s="13">
        <v>1201</v>
      </c>
      <c r="B122" s="13">
        <v>189933</v>
      </c>
      <c r="C122" s="14">
        <v>44739</v>
      </c>
      <c r="D122" s="15">
        <v>96</v>
      </c>
      <c r="E122" t="str">
        <f t="shared" si="1"/>
        <v>1201-189933-44739</v>
      </c>
    </row>
    <row r="123" spans="1:5" ht="14.25" customHeight="1">
      <c r="A123" s="13">
        <v>1201</v>
      </c>
      <c r="B123" s="13">
        <v>189933</v>
      </c>
      <c r="C123" s="14">
        <v>44746</v>
      </c>
      <c r="D123" s="15">
        <v>42</v>
      </c>
      <c r="E123" t="str">
        <f t="shared" si="1"/>
        <v>1201-189933-44746</v>
      </c>
    </row>
    <row r="124" spans="1:5" ht="14.25" customHeight="1">
      <c r="A124" s="13">
        <v>1201</v>
      </c>
      <c r="B124" s="13">
        <v>189933</v>
      </c>
      <c r="C124" s="14">
        <v>44753</v>
      </c>
      <c r="D124" s="15">
        <v>100</v>
      </c>
      <c r="E124" t="str">
        <f t="shared" si="1"/>
        <v>1201-189933-44753</v>
      </c>
    </row>
    <row r="125" spans="1:5" ht="14.25" customHeight="1">
      <c r="A125" s="13">
        <v>1201</v>
      </c>
      <c r="B125" s="13">
        <v>189933</v>
      </c>
      <c r="C125" s="14">
        <v>44760</v>
      </c>
      <c r="D125" s="15">
        <v>43</v>
      </c>
      <c r="E125" t="str">
        <f t="shared" si="1"/>
        <v>1201-189933-44760</v>
      </c>
    </row>
    <row r="126" spans="1:5" ht="14.25" customHeight="1">
      <c r="A126" s="13">
        <v>1201</v>
      </c>
      <c r="B126" s="13">
        <v>189933</v>
      </c>
      <c r="C126" s="14">
        <v>44767</v>
      </c>
      <c r="D126" s="15">
        <v>88</v>
      </c>
      <c r="E126" t="str">
        <f t="shared" si="1"/>
        <v>1201-189933-44767</v>
      </c>
    </row>
    <row r="127" spans="1:5" ht="14.25" customHeight="1">
      <c r="A127" s="13">
        <v>1201</v>
      </c>
      <c r="B127" s="13">
        <v>189933</v>
      </c>
      <c r="C127" s="14">
        <v>44774</v>
      </c>
      <c r="D127" s="15">
        <v>88</v>
      </c>
      <c r="E127" t="str">
        <f t="shared" si="1"/>
        <v>1201-189933-44774</v>
      </c>
    </row>
    <row r="128" spans="1:5" ht="14.25" customHeight="1">
      <c r="A128" s="13">
        <v>1201</v>
      </c>
      <c r="B128" s="13">
        <v>189933</v>
      </c>
      <c r="C128" s="14">
        <v>44781</v>
      </c>
      <c r="D128" s="15">
        <v>38</v>
      </c>
      <c r="E128" t="str">
        <f t="shared" si="1"/>
        <v>1201-189933-44781</v>
      </c>
    </row>
    <row r="129" spans="1:5" ht="14.25" customHeight="1">
      <c r="A129" s="13">
        <v>1201</v>
      </c>
      <c r="B129" s="13">
        <v>189933</v>
      </c>
      <c r="C129" s="14">
        <v>44788</v>
      </c>
      <c r="D129" s="15">
        <v>38</v>
      </c>
      <c r="E129" t="str">
        <f t="shared" si="1"/>
        <v>1201-189933-44788</v>
      </c>
    </row>
    <row r="130" spans="1:5" ht="14.25" customHeight="1">
      <c r="A130" s="13">
        <v>1201</v>
      </c>
      <c r="B130" s="13">
        <v>202577</v>
      </c>
      <c r="C130" s="14">
        <v>44739</v>
      </c>
      <c r="D130" s="15">
        <v>714</v>
      </c>
      <c r="E130" t="str">
        <f t="shared" si="1"/>
        <v>1201-202577-44739</v>
      </c>
    </row>
    <row r="131" spans="1:5" ht="14.25" customHeight="1">
      <c r="A131" s="13">
        <v>1201</v>
      </c>
      <c r="B131" s="13">
        <v>202577</v>
      </c>
      <c r="C131" s="14">
        <v>44746</v>
      </c>
      <c r="D131" s="15">
        <v>208</v>
      </c>
      <c r="E131" t="str">
        <f t="shared" ref="E131:E194" si="2">A131&amp;"-"&amp;B131&amp;"-"&amp;INT(C131)</f>
        <v>1201-202577-44746</v>
      </c>
    </row>
    <row r="132" spans="1:5" ht="14.25" customHeight="1">
      <c r="A132" s="13">
        <v>1201</v>
      </c>
      <c r="B132" s="13">
        <v>202577</v>
      </c>
      <c r="C132" s="14">
        <v>44753</v>
      </c>
      <c r="D132" s="15">
        <v>498</v>
      </c>
      <c r="E132" t="str">
        <f t="shared" si="2"/>
        <v>1201-202577-44753</v>
      </c>
    </row>
    <row r="133" spans="1:5" ht="14.25" customHeight="1">
      <c r="A133" s="13">
        <v>1201</v>
      </c>
      <c r="B133" s="13">
        <v>202577</v>
      </c>
      <c r="C133" s="14">
        <v>44760</v>
      </c>
      <c r="D133" s="15">
        <v>119</v>
      </c>
      <c r="E133" t="str">
        <f t="shared" si="2"/>
        <v>1201-202577-44760</v>
      </c>
    </row>
    <row r="134" spans="1:5" ht="14.25" customHeight="1">
      <c r="A134" s="13">
        <v>1201</v>
      </c>
      <c r="B134" s="13">
        <v>202577</v>
      </c>
      <c r="C134" s="14">
        <v>44767</v>
      </c>
      <c r="D134" s="15">
        <v>126</v>
      </c>
      <c r="E134" t="str">
        <f t="shared" si="2"/>
        <v>1201-202577-44767</v>
      </c>
    </row>
    <row r="135" spans="1:5" ht="14.25" customHeight="1">
      <c r="A135" s="13">
        <v>1201</v>
      </c>
      <c r="B135" s="13">
        <v>202577</v>
      </c>
      <c r="C135" s="14">
        <v>44774</v>
      </c>
      <c r="D135" s="15">
        <v>795</v>
      </c>
      <c r="E135" t="str">
        <f t="shared" si="2"/>
        <v>1201-202577-44774</v>
      </c>
    </row>
    <row r="136" spans="1:5" ht="14.25" customHeight="1">
      <c r="A136" s="13">
        <v>1201</v>
      </c>
      <c r="B136" s="13">
        <v>202577</v>
      </c>
      <c r="C136" s="14">
        <v>44781</v>
      </c>
      <c r="D136" s="15">
        <v>606</v>
      </c>
      <c r="E136" t="str">
        <f t="shared" si="2"/>
        <v>1201-202577-44781</v>
      </c>
    </row>
    <row r="137" spans="1:5" ht="14.25" customHeight="1">
      <c r="A137" s="13">
        <v>1201</v>
      </c>
      <c r="B137" s="13">
        <v>202577</v>
      </c>
      <c r="C137" s="14">
        <v>44788</v>
      </c>
      <c r="D137" s="15">
        <v>238</v>
      </c>
      <c r="E137" t="str">
        <f t="shared" si="2"/>
        <v>1201-202577-44788</v>
      </c>
    </row>
    <row r="138" spans="1:5" ht="14.25" customHeight="1">
      <c r="A138" s="13">
        <v>1201</v>
      </c>
      <c r="B138" s="13">
        <v>234334</v>
      </c>
      <c r="C138" s="14">
        <v>44739</v>
      </c>
      <c r="D138" s="15">
        <v>8</v>
      </c>
      <c r="E138" t="str">
        <f t="shared" si="2"/>
        <v>1201-234334-44739</v>
      </c>
    </row>
    <row r="139" spans="1:5" ht="14.25" customHeight="1">
      <c r="A139" s="13">
        <v>1201</v>
      </c>
      <c r="B139" s="13">
        <v>234334</v>
      </c>
      <c r="C139" s="14">
        <v>44746</v>
      </c>
      <c r="D139" s="15">
        <v>59</v>
      </c>
      <c r="E139" t="str">
        <f t="shared" si="2"/>
        <v>1201-234334-44746</v>
      </c>
    </row>
    <row r="140" spans="1:5" ht="14.25" customHeight="1">
      <c r="A140" s="13">
        <v>1201</v>
      </c>
      <c r="B140" s="13">
        <v>234334</v>
      </c>
      <c r="C140" s="14">
        <v>44753</v>
      </c>
      <c r="D140" s="15">
        <v>8</v>
      </c>
      <c r="E140" t="str">
        <f t="shared" si="2"/>
        <v>1201-234334-44753</v>
      </c>
    </row>
    <row r="141" spans="1:5" ht="14.25" customHeight="1">
      <c r="A141" s="13">
        <v>1201</v>
      </c>
      <c r="B141" s="13">
        <v>234334</v>
      </c>
      <c r="C141" s="14">
        <v>44760</v>
      </c>
      <c r="D141" s="15">
        <v>37</v>
      </c>
      <c r="E141" t="str">
        <f t="shared" si="2"/>
        <v>1201-234334-44760</v>
      </c>
    </row>
    <row r="142" spans="1:5" ht="14.25" customHeight="1">
      <c r="A142" s="13">
        <v>1201</v>
      </c>
      <c r="B142" s="13">
        <v>234334</v>
      </c>
      <c r="C142" s="14">
        <v>44767</v>
      </c>
      <c r="D142" s="15">
        <v>65</v>
      </c>
      <c r="E142" t="str">
        <f t="shared" si="2"/>
        <v>1201-234334-44767</v>
      </c>
    </row>
    <row r="143" spans="1:5" ht="14.25" customHeight="1">
      <c r="A143" s="13">
        <v>1201</v>
      </c>
      <c r="B143" s="13">
        <v>234334</v>
      </c>
      <c r="C143" s="14">
        <v>44774</v>
      </c>
      <c r="D143" s="15">
        <v>41</v>
      </c>
      <c r="E143" t="str">
        <f t="shared" si="2"/>
        <v>1201-234334-44774</v>
      </c>
    </row>
    <row r="144" spans="1:5" ht="14.25" customHeight="1">
      <c r="A144" s="13">
        <v>1201</v>
      </c>
      <c r="B144" s="13">
        <v>234334</v>
      </c>
      <c r="C144" s="14">
        <v>44781</v>
      </c>
      <c r="D144" s="15">
        <v>42</v>
      </c>
      <c r="E144" t="str">
        <f t="shared" si="2"/>
        <v>1201-234334-44781</v>
      </c>
    </row>
    <row r="145" spans="1:5" ht="14.25" customHeight="1">
      <c r="A145" s="13">
        <v>1201</v>
      </c>
      <c r="B145" s="13">
        <v>234334</v>
      </c>
      <c r="C145" s="14">
        <v>44788</v>
      </c>
      <c r="D145" s="15">
        <v>52</v>
      </c>
      <c r="E145" t="str">
        <f t="shared" si="2"/>
        <v>1201-234334-44788</v>
      </c>
    </row>
    <row r="146" spans="1:5" ht="14.25" customHeight="1">
      <c r="A146" s="13">
        <v>1201</v>
      </c>
      <c r="B146" s="13">
        <v>249444</v>
      </c>
      <c r="C146" s="14">
        <v>44739</v>
      </c>
      <c r="D146" s="15">
        <v>3962</v>
      </c>
      <c r="E146" t="str">
        <f t="shared" si="2"/>
        <v>1201-249444-44739</v>
      </c>
    </row>
    <row r="147" spans="1:5" ht="14.25" customHeight="1">
      <c r="A147" s="13">
        <v>1201</v>
      </c>
      <c r="B147" s="13">
        <v>249444</v>
      </c>
      <c r="C147" s="14">
        <v>44746</v>
      </c>
      <c r="D147" s="15">
        <v>2153</v>
      </c>
      <c r="E147" t="str">
        <f t="shared" si="2"/>
        <v>1201-249444-44746</v>
      </c>
    </row>
    <row r="148" spans="1:5" ht="14.25" customHeight="1">
      <c r="A148" s="13">
        <v>1201</v>
      </c>
      <c r="B148" s="13">
        <v>249444</v>
      </c>
      <c r="C148" s="14">
        <v>44753</v>
      </c>
      <c r="D148" s="15">
        <v>3511</v>
      </c>
      <c r="E148" t="str">
        <f t="shared" si="2"/>
        <v>1201-249444-44753</v>
      </c>
    </row>
    <row r="149" spans="1:5" ht="14.25" customHeight="1">
      <c r="A149" s="13">
        <v>1201</v>
      </c>
      <c r="B149" s="13">
        <v>249444</v>
      </c>
      <c r="C149" s="14">
        <v>44760</v>
      </c>
      <c r="D149" s="15">
        <v>4847</v>
      </c>
      <c r="E149" t="str">
        <f t="shared" si="2"/>
        <v>1201-249444-44760</v>
      </c>
    </row>
    <row r="150" spans="1:5" ht="14.25" customHeight="1">
      <c r="A150" s="16">
        <v>1201</v>
      </c>
      <c r="B150" s="13">
        <v>249444</v>
      </c>
      <c r="C150" s="14">
        <v>44767</v>
      </c>
      <c r="D150" s="15">
        <v>1119</v>
      </c>
      <c r="E150" t="str">
        <f t="shared" si="2"/>
        <v>1201-249444-44767</v>
      </c>
    </row>
    <row r="151" spans="1:5" ht="14.25" customHeight="1">
      <c r="A151" s="13">
        <v>1201</v>
      </c>
      <c r="B151" s="13">
        <v>249444</v>
      </c>
      <c r="C151" s="14">
        <v>44774</v>
      </c>
      <c r="D151" s="15">
        <v>4012</v>
      </c>
      <c r="E151" t="str">
        <f t="shared" si="2"/>
        <v>1201-249444-44774</v>
      </c>
    </row>
    <row r="152" spans="1:5" ht="14.25" customHeight="1">
      <c r="A152" s="13">
        <v>1201</v>
      </c>
      <c r="B152" s="13">
        <v>249444</v>
      </c>
      <c r="C152" s="14">
        <v>44781</v>
      </c>
      <c r="D152" s="15">
        <v>1745</v>
      </c>
      <c r="E152" t="str">
        <f t="shared" si="2"/>
        <v>1201-249444-44781</v>
      </c>
    </row>
    <row r="153" spans="1:5" ht="14.25" customHeight="1">
      <c r="A153" s="13">
        <v>1201</v>
      </c>
      <c r="B153" s="13">
        <v>249444</v>
      </c>
      <c r="C153" s="14">
        <v>44788</v>
      </c>
      <c r="D153" s="15">
        <v>1123</v>
      </c>
      <c r="E153" t="str">
        <f t="shared" si="2"/>
        <v>1201-249444-44788</v>
      </c>
    </row>
    <row r="154" spans="1:5" ht="14.25" customHeight="1">
      <c r="A154" s="13">
        <v>1201</v>
      </c>
      <c r="B154" s="13">
        <v>249795</v>
      </c>
      <c r="C154" s="14">
        <v>44739</v>
      </c>
      <c r="D154" s="15">
        <v>210</v>
      </c>
      <c r="E154" t="str">
        <f t="shared" si="2"/>
        <v>1201-249795-44739</v>
      </c>
    </row>
    <row r="155" spans="1:5" ht="14.25" customHeight="1">
      <c r="A155" s="13">
        <v>1201</v>
      </c>
      <c r="B155" s="13">
        <v>249795</v>
      </c>
      <c r="C155" s="14">
        <v>44746</v>
      </c>
      <c r="D155" s="15">
        <v>44</v>
      </c>
      <c r="E155" t="str">
        <f t="shared" si="2"/>
        <v>1201-249795-44746</v>
      </c>
    </row>
    <row r="156" spans="1:5" ht="14.25" customHeight="1">
      <c r="A156" s="13">
        <v>1201</v>
      </c>
      <c r="B156" s="13">
        <v>249795</v>
      </c>
      <c r="C156" s="14">
        <v>44753</v>
      </c>
      <c r="D156" s="15">
        <v>132</v>
      </c>
      <c r="E156" t="str">
        <f t="shared" si="2"/>
        <v>1201-249795-44753</v>
      </c>
    </row>
    <row r="157" spans="1:5" ht="14.25" customHeight="1">
      <c r="A157" s="13">
        <v>1201</v>
      </c>
      <c r="B157" s="13">
        <v>249795</v>
      </c>
      <c r="C157" s="14">
        <v>44760</v>
      </c>
      <c r="D157" s="15">
        <v>78</v>
      </c>
      <c r="E157" t="str">
        <f t="shared" si="2"/>
        <v>1201-249795-44760</v>
      </c>
    </row>
    <row r="158" spans="1:5" ht="14.25" customHeight="1">
      <c r="A158" s="13">
        <v>1201</v>
      </c>
      <c r="B158" s="13">
        <v>249795</v>
      </c>
      <c r="C158" s="14">
        <v>44767</v>
      </c>
      <c r="D158" s="15">
        <v>190</v>
      </c>
      <c r="E158" t="str">
        <f t="shared" si="2"/>
        <v>1201-249795-44767</v>
      </c>
    </row>
    <row r="159" spans="1:5" ht="14.25" customHeight="1">
      <c r="A159" s="13">
        <v>1201</v>
      </c>
      <c r="B159" s="13">
        <v>249795</v>
      </c>
      <c r="C159" s="14">
        <v>44774</v>
      </c>
      <c r="D159" s="15">
        <v>156</v>
      </c>
      <c r="E159" t="str">
        <f t="shared" si="2"/>
        <v>1201-249795-44774</v>
      </c>
    </row>
    <row r="160" spans="1:5" ht="14.25" customHeight="1">
      <c r="A160" s="13">
        <v>1201</v>
      </c>
      <c r="B160" s="13">
        <v>249795</v>
      </c>
      <c r="C160" s="14">
        <v>44781</v>
      </c>
      <c r="D160" s="15">
        <v>69</v>
      </c>
      <c r="E160" t="str">
        <f t="shared" si="2"/>
        <v>1201-249795-44781</v>
      </c>
    </row>
    <row r="161" spans="1:5" ht="14.25" customHeight="1">
      <c r="A161" s="13">
        <v>1201</v>
      </c>
      <c r="B161" s="13">
        <v>249795</v>
      </c>
      <c r="C161" s="14">
        <v>44788</v>
      </c>
      <c r="D161" s="15">
        <v>169</v>
      </c>
      <c r="E161" t="str">
        <f t="shared" si="2"/>
        <v>1201-249795-44788</v>
      </c>
    </row>
    <row r="162" spans="1:5" ht="14.25" customHeight="1">
      <c r="A162" s="13">
        <v>1201</v>
      </c>
      <c r="B162" s="13">
        <v>250979</v>
      </c>
      <c r="C162" s="14">
        <v>44739</v>
      </c>
      <c r="D162" s="15">
        <v>152</v>
      </c>
      <c r="E162" t="str">
        <f t="shared" si="2"/>
        <v>1201-250979-44739</v>
      </c>
    </row>
    <row r="163" spans="1:5" ht="14.25" customHeight="1">
      <c r="A163" s="13">
        <v>1201</v>
      </c>
      <c r="B163" s="13">
        <v>250979</v>
      </c>
      <c r="C163" s="14">
        <v>44746</v>
      </c>
      <c r="D163" s="15">
        <v>96</v>
      </c>
      <c r="E163" t="str">
        <f t="shared" si="2"/>
        <v>1201-250979-44746</v>
      </c>
    </row>
    <row r="164" spans="1:5" ht="14.25" customHeight="1">
      <c r="A164" s="13">
        <v>1201</v>
      </c>
      <c r="B164" s="13">
        <v>250979</v>
      </c>
      <c r="C164" s="14">
        <v>44753</v>
      </c>
      <c r="D164" s="15">
        <v>183</v>
      </c>
      <c r="E164" t="str">
        <f t="shared" si="2"/>
        <v>1201-250979-44753</v>
      </c>
    </row>
    <row r="165" spans="1:5" ht="14.25" customHeight="1">
      <c r="A165" s="13">
        <v>1201</v>
      </c>
      <c r="B165" s="13">
        <v>250979</v>
      </c>
      <c r="C165" s="14">
        <v>44760</v>
      </c>
      <c r="D165" s="15">
        <v>169</v>
      </c>
      <c r="E165" t="str">
        <f t="shared" si="2"/>
        <v>1201-250979-44760</v>
      </c>
    </row>
    <row r="166" spans="1:5" ht="14.25" customHeight="1">
      <c r="A166" s="13">
        <v>1201</v>
      </c>
      <c r="B166" s="13">
        <v>250979</v>
      </c>
      <c r="C166" s="14">
        <v>44767</v>
      </c>
      <c r="D166" s="15">
        <v>75</v>
      </c>
      <c r="E166" t="str">
        <f t="shared" si="2"/>
        <v>1201-250979-44767</v>
      </c>
    </row>
    <row r="167" spans="1:5" ht="14.25" customHeight="1">
      <c r="A167" s="13">
        <v>1201</v>
      </c>
      <c r="B167" s="13">
        <v>250979</v>
      </c>
      <c r="C167" s="14">
        <v>44774</v>
      </c>
      <c r="D167" s="15">
        <v>226</v>
      </c>
      <c r="E167" t="str">
        <f t="shared" si="2"/>
        <v>1201-250979-44774</v>
      </c>
    </row>
    <row r="168" spans="1:5" ht="14.25" customHeight="1">
      <c r="A168" s="13">
        <v>1201</v>
      </c>
      <c r="B168" s="13">
        <v>250979</v>
      </c>
      <c r="C168" s="14">
        <v>44781</v>
      </c>
      <c r="D168" s="15">
        <v>176</v>
      </c>
      <c r="E168" t="str">
        <f t="shared" si="2"/>
        <v>1201-250979-44781</v>
      </c>
    </row>
    <row r="169" spans="1:5" ht="14.25" customHeight="1">
      <c r="A169" s="13">
        <v>1201</v>
      </c>
      <c r="B169" s="13">
        <v>250979</v>
      </c>
      <c r="C169" s="14">
        <v>44788</v>
      </c>
      <c r="D169" s="15">
        <v>137</v>
      </c>
      <c r="E169" t="str">
        <f t="shared" si="2"/>
        <v>1201-250979-44788</v>
      </c>
    </row>
    <row r="170" spans="1:5" ht="14.25" customHeight="1">
      <c r="A170" s="13">
        <v>1201</v>
      </c>
      <c r="B170" s="13">
        <v>250981</v>
      </c>
      <c r="C170" s="14">
        <v>44739</v>
      </c>
      <c r="D170" s="15">
        <v>48</v>
      </c>
      <c r="E170" t="str">
        <f t="shared" si="2"/>
        <v>1201-250981-44739</v>
      </c>
    </row>
    <row r="171" spans="1:5" ht="14.25" customHeight="1">
      <c r="A171" s="13">
        <v>1201</v>
      </c>
      <c r="B171" s="13">
        <v>250981</v>
      </c>
      <c r="C171" s="14">
        <v>44746</v>
      </c>
      <c r="D171" s="15">
        <v>30</v>
      </c>
      <c r="E171" t="str">
        <f t="shared" si="2"/>
        <v>1201-250981-44746</v>
      </c>
    </row>
    <row r="172" spans="1:5" ht="14.25" customHeight="1">
      <c r="A172" s="13">
        <v>1201</v>
      </c>
      <c r="B172" s="13">
        <v>250981</v>
      </c>
      <c r="C172" s="14">
        <v>44753</v>
      </c>
      <c r="D172" s="15">
        <v>30</v>
      </c>
      <c r="E172" t="str">
        <f t="shared" si="2"/>
        <v>1201-250981-44753</v>
      </c>
    </row>
    <row r="173" spans="1:5" ht="14.25" customHeight="1">
      <c r="A173" s="13">
        <v>1201</v>
      </c>
      <c r="B173" s="13">
        <v>250981</v>
      </c>
      <c r="C173" s="14">
        <v>44760</v>
      </c>
      <c r="D173" s="15">
        <v>21</v>
      </c>
      <c r="E173" t="str">
        <f t="shared" si="2"/>
        <v>1201-250981-44760</v>
      </c>
    </row>
    <row r="174" spans="1:5" ht="14.25" customHeight="1">
      <c r="A174" s="13">
        <v>1201</v>
      </c>
      <c r="B174" s="13">
        <v>250981</v>
      </c>
      <c r="C174" s="14">
        <v>44767</v>
      </c>
      <c r="D174" s="15">
        <v>68</v>
      </c>
      <c r="E174" t="str">
        <f t="shared" si="2"/>
        <v>1201-250981-44767</v>
      </c>
    </row>
    <row r="175" spans="1:5" ht="14.25" customHeight="1">
      <c r="A175" s="13">
        <v>1201</v>
      </c>
      <c r="B175" s="13">
        <v>250981</v>
      </c>
      <c r="C175" s="14">
        <v>44774</v>
      </c>
      <c r="D175" s="15">
        <v>48</v>
      </c>
      <c r="E175" t="str">
        <f t="shared" si="2"/>
        <v>1201-250981-44774</v>
      </c>
    </row>
    <row r="176" spans="1:5" ht="14.25" customHeight="1">
      <c r="A176" s="13">
        <v>1201</v>
      </c>
      <c r="B176" s="13">
        <v>250981</v>
      </c>
      <c r="C176" s="14">
        <v>44781</v>
      </c>
      <c r="D176" s="15">
        <v>27</v>
      </c>
      <c r="E176" t="str">
        <f t="shared" si="2"/>
        <v>1201-250981-44781</v>
      </c>
    </row>
    <row r="177" spans="1:5" ht="14.25" customHeight="1">
      <c r="A177" s="13">
        <v>1201</v>
      </c>
      <c r="B177" s="13">
        <v>250981</v>
      </c>
      <c r="C177" s="14">
        <v>44788</v>
      </c>
      <c r="D177" s="15">
        <v>54</v>
      </c>
      <c r="E177" t="str">
        <f t="shared" si="2"/>
        <v>1201-250981-44788</v>
      </c>
    </row>
    <row r="178" spans="1:5" ht="14.25" customHeight="1">
      <c r="A178" s="13">
        <v>1201</v>
      </c>
      <c r="B178" s="13">
        <v>262294</v>
      </c>
      <c r="C178" s="14">
        <v>44739</v>
      </c>
      <c r="D178" s="15">
        <v>124</v>
      </c>
      <c r="E178" t="str">
        <f t="shared" si="2"/>
        <v>1201-262294-44739</v>
      </c>
    </row>
    <row r="179" spans="1:5" ht="14.25" customHeight="1">
      <c r="A179" s="13">
        <v>1201</v>
      </c>
      <c r="B179" s="13">
        <v>262294</v>
      </c>
      <c r="C179" s="14">
        <v>44746</v>
      </c>
      <c r="D179" s="15">
        <v>56</v>
      </c>
      <c r="E179" t="str">
        <f t="shared" si="2"/>
        <v>1201-262294-44746</v>
      </c>
    </row>
    <row r="180" spans="1:5" ht="14.25" customHeight="1">
      <c r="A180" s="13">
        <v>1201</v>
      </c>
      <c r="B180" s="13">
        <v>262294</v>
      </c>
      <c r="C180" s="14">
        <v>44753</v>
      </c>
      <c r="D180" s="15">
        <v>49</v>
      </c>
      <c r="E180" t="str">
        <f t="shared" si="2"/>
        <v>1201-262294-44753</v>
      </c>
    </row>
    <row r="181" spans="1:5" ht="14.25" customHeight="1">
      <c r="A181" s="13">
        <v>1201</v>
      </c>
      <c r="B181" s="13">
        <v>262294</v>
      </c>
      <c r="C181" s="14">
        <v>44760</v>
      </c>
      <c r="D181" s="15">
        <v>129</v>
      </c>
      <c r="E181" t="str">
        <f t="shared" si="2"/>
        <v>1201-262294-44760</v>
      </c>
    </row>
    <row r="182" spans="1:5" ht="14.25" customHeight="1">
      <c r="A182" s="13">
        <v>1201</v>
      </c>
      <c r="B182" s="13">
        <v>262294</v>
      </c>
      <c r="C182" s="14">
        <v>44767</v>
      </c>
      <c r="D182" s="15">
        <v>56</v>
      </c>
      <c r="E182" t="str">
        <f t="shared" si="2"/>
        <v>1201-262294-44767</v>
      </c>
    </row>
    <row r="183" spans="1:5" ht="14.25" customHeight="1">
      <c r="A183" s="13">
        <v>1201</v>
      </c>
      <c r="B183" s="13">
        <v>262294</v>
      </c>
      <c r="C183" s="14">
        <v>44774</v>
      </c>
      <c r="D183" s="15">
        <v>123</v>
      </c>
      <c r="E183" t="str">
        <f t="shared" si="2"/>
        <v>1201-262294-44774</v>
      </c>
    </row>
    <row r="184" spans="1:5" ht="14.25" customHeight="1">
      <c r="A184" s="13">
        <v>1201</v>
      </c>
      <c r="B184" s="13">
        <v>262294</v>
      </c>
      <c r="C184" s="14">
        <v>44781</v>
      </c>
      <c r="D184" s="15">
        <v>53</v>
      </c>
      <c r="E184" t="str">
        <f t="shared" si="2"/>
        <v>1201-262294-44781</v>
      </c>
    </row>
    <row r="185" spans="1:5" ht="14.25" customHeight="1">
      <c r="A185" s="13">
        <v>1201</v>
      </c>
      <c r="B185" s="13">
        <v>262294</v>
      </c>
      <c r="C185" s="14">
        <v>44788</v>
      </c>
      <c r="D185" s="15">
        <v>110</v>
      </c>
      <c r="E185" t="str">
        <f t="shared" si="2"/>
        <v>1201-262294-44788</v>
      </c>
    </row>
    <row r="186" spans="1:5" ht="14.25" customHeight="1">
      <c r="A186" s="13">
        <v>1201</v>
      </c>
      <c r="B186" s="13">
        <v>268831</v>
      </c>
      <c r="C186" s="14">
        <v>44739</v>
      </c>
      <c r="D186" s="15">
        <v>503</v>
      </c>
      <c r="E186" t="str">
        <f t="shared" si="2"/>
        <v>1201-268831-44739</v>
      </c>
    </row>
    <row r="187" spans="1:5" ht="14.25" customHeight="1">
      <c r="A187" s="13">
        <v>1201</v>
      </c>
      <c r="B187" s="13">
        <v>268831</v>
      </c>
      <c r="C187" s="14">
        <v>44746</v>
      </c>
      <c r="D187" s="15">
        <v>538</v>
      </c>
      <c r="E187" t="str">
        <f t="shared" si="2"/>
        <v>1201-268831-44746</v>
      </c>
    </row>
    <row r="188" spans="1:5" ht="14.25" customHeight="1">
      <c r="A188" s="13">
        <v>1201</v>
      </c>
      <c r="B188" s="13">
        <v>268831</v>
      </c>
      <c r="C188" s="14">
        <v>44753</v>
      </c>
      <c r="D188" s="15">
        <v>208</v>
      </c>
      <c r="E188" t="str">
        <f t="shared" si="2"/>
        <v>1201-268831-44753</v>
      </c>
    </row>
    <row r="189" spans="1:5" ht="14.25" customHeight="1">
      <c r="A189" s="13">
        <v>1201</v>
      </c>
      <c r="B189" s="13">
        <v>268831</v>
      </c>
      <c r="C189" s="14">
        <v>44760</v>
      </c>
      <c r="D189" s="15">
        <v>385</v>
      </c>
      <c r="E189" t="str">
        <f t="shared" si="2"/>
        <v>1201-268831-44760</v>
      </c>
    </row>
    <row r="190" spans="1:5" ht="14.25" customHeight="1">
      <c r="A190" s="13">
        <v>1201</v>
      </c>
      <c r="B190" s="13">
        <v>268831</v>
      </c>
      <c r="C190" s="14">
        <v>44767</v>
      </c>
      <c r="D190" s="15">
        <v>187</v>
      </c>
      <c r="E190" t="str">
        <f t="shared" si="2"/>
        <v>1201-268831-44767</v>
      </c>
    </row>
    <row r="191" spans="1:5" ht="14.25" customHeight="1">
      <c r="A191" s="13">
        <v>1201</v>
      </c>
      <c r="B191" s="13">
        <v>268831</v>
      </c>
      <c r="C191" s="14">
        <v>44774</v>
      </c>
      <c r="D191" s="15">
        <v>507</v>
      </c>
      <c r="E191" t="str">
        <f t="shared" si="2"/>
        <v>1201-268831-44774</v>
      </c>
    </row>
    <row r="192" spans="1:5" ht="14.25" customHeight="1">
      <c r="A192" s="13">
        <v>1201</v>
      </c>
      <c r="B192" s="13">
        <v>268831</v>
      </c>
      <c r="C192" s="14">
        <v>44781</v>
      </c>
      <c r="D192" s="15">
        <v>210</v>
      </c>
      <c r="E192" t="str">
        <f t="shared" si="2"/>
        <v>1201-268831-44781</v>
      </c>
    </row>
    <row r="193" spans="1:5" ht="14.25" customHeight="1">
      <c r="A193" s="13">
        <v>1201</v>
      </c>
      <c r="B193" s="13">
        <v>268831</v>
      </c>
      <c r="C193" s="14">
        <v>44788</v>
      </c>
      <c r="D193" s="15">
        <v>491</v>
      </c>
      <c r="E193" t="str">
        <f t="shared" si="2"/>
        <v>1201-268831-44788</v>
      </c>
    </row>
    <row r="194" spans="1:5" ht="14.25" customHeight="1">
      <c r="A194" s="13">
        <v>1201</v>
      </c>
      <c r="B194" s="13">
        <v>273701</v>
      </c>
      <c r="C194" s="14">
        <v>44739</v>
      </c>
      <c r="D194" s="15">
        <v>112</v>
      </c>
      <c r="E194" t="str">
        <f t="shared" si="2"/>
        <v>1201-273701-44739</v>
      </c>
    </row>
    <row r="195" spans="1:5" ht="14.25" customHeight="1">
      <c r="A195" s="13">
        <v>1201</v>
      </c>
      <c r="B195" s="13">
        <v>273701</v>
      </c>
      <c r="C195" s="14">
        <v>44746</v>
      </c>
      <c r="D195" s="15">
        <v>120</v>
      </c>
      <c r="E195" t="str">
        <f t="shared" ref="E195:E258" si="3">A195&amp;"-"&amp;B195&amp;"-"&amp;INT(C195)</f>
        <v>1201-273701-44746</v>
      </c>
    </row>
    <row r="196" spans="1:5" ht="14.25" customHeight="1">
      <c r="A196" s="13">
        <v>1201</v>
      </c>
      <c r="B196" s="13">
        <v>273701</v>
      </c>
      <c r="C196" s="14">
        <v>44753</v>
      </c>
      <c r="D196" s="15">
        <v>37</v>
      </c>
      <c r="E196" t="str">
        <f t="shared" si="3"/>
        <v>1201-273701-44753</v>
      </c>
    </row>
    <row r="197" spans="1:5" ht="14.25" customHeight="1">
      <c r="A197" s="13">
        <v>1201</v>
      </c>
      <c r="B197" s="13">
        <v>273701</v>
      </c>
      <c r="C197" s="14">
        <v>44760</v>
      </c>
      <c r="D197" s="15">
        <v>124</v>
      </c>
      <c r="E197" t="str">
        <f t="shared" si="3"/>
        <v>1201-273701-44760</v>
      </c>
    </row>
    <row r="198" spans="1:5" ht="14.25" customHeight="1">
      <c r="A198" s="13">
        <v>1201</v>
      </c>
      <c r="B198" s="13">
        <v>273701</v>
      </c>
      <c r="C198" s="14">
        <v>44767</v>
      </c>
      <c r="D198" s="15">
        <v>48</v>
      </c>
      <c r="E198" t="str">
        <f t="shared" si="3"/>
        <v>1201-273701-44767</v>
      </c>
    </row>
    <row r="199" spans="1:5" ht="14.25" customHeight="1">
      <c r="A199" s="13">
        <v>1201</v>
      </c>
      <c r="B199" s="13">
        <v>273701</v>
      </c>
      <c r="C199" s="14">
        <v>44774</v>
      </c>
      <c r="D199" s="15">
        <v>126</v>
      </c>
      <c r="E199" t="str">
        <f t="shared" si="3"/>
        <v>1201-273701-44774</v>
      </c>
    </row>
    <row r="200" spans="1:5" ht="14.25" customHeight="1">
      <c r="A200" s="13">
        <v>1201</v>
      </c>
      <c r="B200" s="13">
        <v>273701</v>
      </c>
      <c r="C200" s="14">
        <v>44781</v>
      </c>
      <c r="D200" s="15">
        <v>126</v>
      </c>
      <c r="E200" t="str">
        <f t="shared" si="3"/>
        <v>1201-273701-44781</v>
      </c>
    </row>
    <row r="201" spans="1:5" ht="14.25" customHeight="1">
      <c r="A201" s="13">
        <v>1201</v>
      </c>
      <c r="B201" s="13">
        <v>273701</v>
      </c>
      <c r="C201" s="14">
        <v>44788</v>
      </c>
      <c r="D201" s="15">
        <v>31</v>
      </c>
      <c r="E201" t="str">
        <f t="shared" si="3"/>
        <v>1201-273701-44788</v>
      </c>
    </row>
    <row r="202" spans="1:5" ht="14.25" customHeight="1">
      <c r="A202" s="13">
        <v>1201</v>
      </c>
      <c r="B202" s="13">
        <v>291726</v>
      </c>
      <c r="C202" s="14">
        <v>44739</v>
      </c>
      <c r="D202" s="15">
        <v>58</v>
      </c>
      <c r="E202" t="str">
        <f t="shared" si="3"/>
        <v>1201-291726-44739</v>
      </c>
    </row>
    <row r="203" spans="1:5" ht="14.25" customHeight="1">
      <c r="A203" s="13">
        <v>1201</v>
      </c>
      <c r="B203" s="13">
        <v>291726</v>
      </c>
      <c r="C203" s="14">
        <v>44746</v>
      </c>
      <c r="D203" s="15">
        <v>60</v>
      </c>
      <c r="E203" t="str">
        <f t="shared" si="3"/>
        <v>1201-291726-44746</v>
      </c>
    </row>
    <row r="204" spans="1:5" ht="14.25" customHeight="1">
      <c r="A204" s="13">
        <v>1201</v>
      </c>
      <c r="B204" s="13">
        <v>291726</v>
      </c>
      <c r="C204" s="14">
        <v>44753</v>
      </c>
      <c r="D204" s="15">
        <v>50</v>
      </c>
      <c r="E204" t="str">
        <f t="shared" si="3"/>
        <v>1201-291726-44753</v>
      </c>
    </row>
    <row r="205" spans="1:5" ht="14.25" customHeight="1">
      <c r="A205" s="13">
        <v>1201</v>
      </c>
      <c r="B205" s="13">
        <v>291726</v>
      </c>
      <c r="C205" s="14">
        <v>44760</v>
      </c>
      <c r="D205" s="15">
        <v>60</v>
      </c>
      <c r="E205" t="str">
        <f t="shared" si="3"/>
        <v>1201-291726-44760</v>
      </c>
    </row>
    <row r="206" spans="1:5" ht="14.25" customHeight="1">
      <c r="A206" s="13">
        <v>1201</v>
      </c>
      <c r="B206" s="13">
        <v>291726</v>
      </c>
      <c r="C206" s="14">
        <v>44767</v>
      </c>
      <c r="D206" s="15">
        <v>57</v>
      </c>
      <c r="E206" t="str">
        <f t="shared" si="3"/>
        <v>1201-291726-44767</v>
      </c>
    </row>
    <row r="207" spans="1:5" ht="14.25" customHeight="1">
      <c r="A207" s="13">
        <v>1201</v>
      </c>
      <c r="B207" s="13">
        <v>291726</v>
      </c>
      <c r="C207" s="14">
        <v>44774</v>
      </c>
      <c r="D207" s="15">
        <v>62</v>
      </c>
      <c r="E207" t="str">
        <f t="shared" si="3"/>
        <v>1201-291726-44774</v>
      </c>
    </row>
    <row r="208" spans="1:5" ht="14.25" customHeight="1">
      <c r="A208" s="13">
        <v>1201</v>
      </c>
      <c r="B208" s="13">
        <v>291726</v>
      </c>
      <c r="C208" s="14">
        <v>44781</v>
      </c>
      <c r="D208" s="15">
        <v>60</v>
      </c>
      <c r="E208" t="str">
        <f t="shared" si="3"/>
        <v>1201-291726-44781</v>
      </c>
    </row>
    <row r="209" spans="1:5" ht="14.25" customHeight="1">
      <c r="A209" s="13">
        <v>1201</v>
      </c>
      <c r="B209" s="13">
        <v>291726</v>
      </c>
      <c r="C209" s="14">
        <v>44788</v>
      </c>
      <c r="D209" s="15">
        <v>58</v>
      </c>
      <c r="E209" t="str">
        <f t="shared" si="3"/>
        <v>1201-291726-44788</v>
      </c>
    </row>
    <row r="210" spans="1:5" ht="14.25" customHeight="1">
      <c r="A210" s="13">
        <v>1201</v>
      </c>
      <c r="B210" s="13">
        <v>291728</v>
      </c>
      <c r="C210" s="14">
        <v>44739</v>
      </c>
      <c r="D210" s="15">
        <v>40</v>
      </c>
      <c r="E210" t="str">
        <f t="shared" si="3"/>
        <v>1201-291728-44739</v>
      </c>
    </row>
    <row r="211" spans="1:5" ht="14.25" customHeight="1">
      <c r="A211" s="13">
        <v>1201</v>
      </c>
      <c r="B211" s="13">
        <v>291728</v>
      </c>
      <c r="C211" s="14">
        <v>44746</v>
      </c>
      <c r="D211" s="15">
        <v>8</v>
      </c>
      <c r="E211" t="str">
        <f t="shared" si="3"/>
        <v>1201-291728-44746</v>
      </c>
    </row>
    <row r="212" spans="1:5" ht="14.25" customHeight="1">
      <c r="A212" s="13">
        <v>1201</v>
      </c>
      <c r="B212" s="13">
        <v>291728</v>
      </c>
      <c r="C212" s="14">
        <v>44753</v>
      </c>
      <c r="D212" s="15">
        <v>45</v>
      </c>
      <c r="E212" t="str">
        <f t="shared" si="3"/>
        <v>1201-291728-44753</v>
      </c>
    </row>
    <row r="213" spans="1:5" ht="14.25" customHeight="1">
      <c r="A213" s="13">
        <v>1201</v>
      </c>
      <c r="B213" s="13">
        <v>291728</v>
      </c>
      <c r="C213" s="14">
        <v>44760</v>
      </c>
      <c r="D213" s="15">
        <v>2</v>
      </c>
      <c r="E213" t="str">
        <f t="shared" si="3"/>
        <v>1201-291728-44760</v>
      </c>
    </row>
    <row r="214" spans="1:5" ht="14.25" customHeight="1">
      <c r="A214" s="13">
        <v>1201</v>
      </c>
      <c r="B214" s="13">
        <v>291728</v>
      </c>
      <c r="C214" s="14">
        <v>44767</v>
      </c>
      <c r="D214" s="15">
        <v>35</v>
      </c>
      <c r="E214" t="str">
        <f t="shared" si="3"/>
        <v>1201-291728-44767</v>
      </c>
    </row>
    <row r="215" spans="1:5" ht="14.25" customHeight="1">
      <c r="A215" s="13">
        <v>1201</v>
      </c>
      <c r="B215" s="13">
        <v>291728</v>
      </c>
      <c r="C215" s="14">
        <v>44774</v>
      </c>
      <c r="D215" s="15">
        <v>38</v>
      </c>
      <c r="E215" t="str">
        <f t="shared" si="3"/>
        <v>1201-291728-44774</v>
      </c>
    </row>
    <row r="216" spans="1:5" ht="14.25" customHeight="1">
      <c r="A216" s="13">
        <v>1201</v>
      </c>
      <c r="B216" s="13">
        <v>291728</v>
      </c>
      <c r="C216" s="14">
        <v>44781</v>
      </c>
      <c r="D216" s="15">
        <v>37</v>
      </c>
      <c r="E216" t="str">
        <f t="shared" si="3"/>
        <v>1201-291728-44781</v>
      </c>
    </row>
    <row r="217" spans="1:5" ht="14.25" customHeight="1">
      <c r="A217" s="13">
        <v>1201</v>
      </c>
      <c r="B217" s="13">
        <v>291728</v>
      </c>
      <c r="C217" s="14">
        <v>44788</v>
      </c>
      <c r="D217" s="15">
        <v>32</v>
      </c>
      <c r="E217" t="str">
        <f t="shared" si="3"/>
        <v>1201-291728-44788</v>
      </c>
    </row>
    <row r="218" spans="1:5" ht="14.25" customHeight="1">
      <c r="A218" s="13">
        <v>1201</v>
      </c>
      <c r="B218" s="13">
        <v>300380</v>
      </c>
      <c r="C218" s="14">
        <v>32874</v>
      </c>
      <c r="D218" s="15">
        <v>29</v>
      </c>
      <c r="E218" t="str">
        <f t="shared" si="3"/>
        <v>1201-300380-32874</v>
      </c>
    </row>
    <row r="219" spans="1:5" ht="14.25" customHeight="1">
      <c r="A219" s="13">
        <v>1201</v>
      </c>
      <c r="B219" s="13">
        <v>300380</v>
      </c>
      <c r="C219" s="14">
        <v>44739</v>
      </c>
      <c r="D219" s="15">
        <v>79</v>
      </c>
      <c r="E219" t="str">
        <f t="shared" si="3"/>
        <v>1201-300380-44739</v>
      </c>
    </row>
    <row r="220" spans="1:5" ht="14.25" customHeight="1">
      <c r="A220" s="13">
        <v>1201</v>
      </c>
      <c r="B220" s="13">
        <v>300380</v>
      </c>
      <c r="C220" s="14">
        <v>44746</v>
      </c>
      <c r="D220" s="15">
        <v>30</v>
      </c>
      <c r="E220" t="str">
        <f t="shared" si="3"/>
        <v>1201-300380-44746</v>
      </c>
    </row>
    <row r="221" spans="1:5" ht="14.25" customHeight="1">
      <c r="A221" s="13">
        <v>1201</v>
      </c>
      <c r="B221" s="13">
        <v>300380</v>
      </c>
      <c r="C221" s="14">
        <v>44753</v>
      </c>
      <c r="D221" s="15">
        <v>117</v>
      </c>
      <c r="E221" t="str">
        <f t="shared" si="3"/>
        <v>1201-300380-44753</v>
      </c>
    </row>
    <row r="222" spans="1:5" ht="14.25" customHeight="1">
      <c r="A222" s="13">
        <v>1201</v>
      </c>
      <c r="B222" s="13">
        <v>300380</v>
      </c>
      <c r="C222" s="14">
        <v>44760</v>
      </c>
      <c r="D222" s="15">
        <v>24</v>
      </c>
      <c r="E222" t="str">
        <f t="shared" si="3"/>
        <v>1201-300380-44760</v>
      </c>
    </row>
    <row r="223" spans="1:5" ht="14.25" customHeight="1">
      <c r="A223" s="13">
        <v>1201</v>
      </c>
      <c r="B223" s="13">
        <v>300380</v>
      </c>
      <c r="C223" s="14">
        <v>44767</v>
      </c>
      <c r="D223" s="15">
        <v>27</v>
      </c>
      <c r="E223" t="str">
        <f t="shared" si="3"/>
        <v>1201-300380-44767</v>
      </c>
    </row>
    <row r="224" spans="1:5" ht="14.25" customHeight="1">
      <c r="A224" s="13">
        <v>1201</v>
      </c>
      <c r="B224" s="13">
        <v>300380</v>
      </c>
      <c r="C224" s="14">
        <v>44774</v>
      </c>
      <c r="D224" s="15">
        <v>95</v>
      </c>
      <c r="E224" t="str">
        <f t="shared" si="3"/>
        <v>1201-300380-44774</v>
      </c>
    </row>
    <row r="225" spans="1:5" ht="14.25" customHeight="1">
      <c r="A225" s="13">
        <v>1201</v>
      </c>
      <c r="B225" s="13">
        <v>300380</v>
      </c>
      <c r="C225" s="14">
        <v>44781</v>
      </c>
      <c r="D225" s="15">
        <v>112</v>
      </c>
      <c r="E225" t="str">
        <f t="shared" si="3"/>
        <v>1201-300380-44781</v>
      </c>
    </row>
    <row r="226" spans="1:5" ht="14.25" customHeight="1">
      <c r="A226" s="13">
        <v>1201</v>
      </c>
      <c r="B226" s="13">
        <v>300380</v>
      </c>
      <c r="C226" s="14">
        <v>44788</v>
      </c>
      <c r="D226" s="15">
        <v>42</v>
      </c>
      <c r="E226" t="str">
        <f t="shared" si="3"/>
        <v>1201-300380-44788</v>
      </c>
    </row>
    <row r="227" spans="1:5" ht="14.25" customHeight="1">
      <c r="A227" s="13">
        <v>1201</v>
      </c>
      <c r="B227" s="13">
        <v>571521</v>
      </c>
      <c r="C227" s="14">
        <v>44739</v>
      </c>
      <c r="D227" s="15">
        <v>883</v>
      </c>
      <c r="E227" t="str">
        <f t="shared" si="3"/>
        <v>1201-571521-44739</v>
      </c>
    </row>
    <row r="228" spans="1:5" ht="14.25" customHeight="1">
      <c r="A228" s="13">
        <v>1201</v>
      </c>
      <c r="B228" s="13">
        <v>571521</v>
      </c>
      <c r="C228" s="14">
        <v>44746</v>
      </c>
      <c r="D228" s="15">
        <v>523</v>
      </c>
      <c r="E228" t="str">
        <f t="shared" si="3"/>
        <v>1201-571521-44746</v>
      </c>
    </row>
    <row r="229" spans="1:5" ht="14.25" customHeight="1">
      <c r="A229" s="13">
        <v>1201</v>
      </c>
      <c r="B229" s="13">
        <v>571521</v>
      </c>
      <c r="C229" s="14">
        <v>44753</v>
      </c>
      <c r="D229" s="15">
        <v>818</v>
      </c>
      <c r="E229" t="str">
        <f t="shared" si="3"/>
        <v>1201-571521-44753</v>
      </c>
    </row>
    <row r="230" spans="1:5" ht="14.25" customHeight="1">
      <c r="A230" s="13">
        <v>1201</v>
      </c>
      <c r="B230" s="13">
        <v>571521</v>
      </c>
      <c r="C230" s="14">
        <v>44760</v>
      </c>
      <c r="D230" s="15">
        <v>1115</v>
      </c>
      <c r="E230" t="str">
        <f t="shared" si="3"/>
        <v>1201-571521-44760</v>
      </c>
    </row>
    <row r="231" spans="1:5" ht="14.25" customHeight="1">
      <c r="A231" s="13">
        <v>1201</v>
      </c>
      <c r="B231" s="13">
        <v>571521</v>
      </c>
      <c r="C231" s="14">
        <v>44767</v>
      </c>
      <c r="D231" s="15">
        <v>1050</v>
      </c>
      <c r="E231" t="str">
        <f t="shared" si="3"/>
        <v>1201-571521-44767</v>
      </c>
    </row>
    <row r="232" spans="1:5" ht="14.25" customHeight="1">
      <c r="A232" s="13">
        <v>1201</v>
      </c>
      <c r="B232" s="13">
        <v>571521</v>
      </c>
      <c r="C232" s="14">
        <v>44774</v>
      </c>
      <c r="D232" s="15">
        <v>1022</v>
      </c>
      <c r="E232" t="str">
        <f t="shared" si="3"/>
        <v>1201-571521-44774</v>
      </c>
    </row>
    <row r="233" spans="1:5" ht="14.25" customHeight="1">
      <c r="A233" s="13">
        <v>1201</v>
      </c>
      <c r="B233" s="13">
        <v>571521</v>
      </c>
      <c r="C233" s="14">
        <v>44781</v>
      </c>
      <c r="D233" s="15">
        <v>1216</v>
      </c>
      <c r="E233" t="str">
        <f t="shared" si="3"/>
        <v>1201-571521-44781</v>
      </c>
    </row>
    <row r="234" spans="1:5" ht="14.25" customHeight="1">
      <c r="A234" s="13">
        <v>1201</v>
      </c>
      <c r="B234" s="13">
        <v>571521</v>
      </c>
      <c r="C234" s="14">
        <v>44788</v>
      </c>
      <c r="D234" s="15">
        <v>319</v>
      </c>
      <c r="E234" t="str">
        <f t="shared" si="3"/>
        <v>1201-571521-44788</v>
      </c>
    </row>
    <row r="235" spans="1:5" ht="14.25" customHeight="1">
      <c r="A235" s="13">
        <v>1201</v>
      </c>
      <c r="B235" s="13">
        <v>614993</v>
      </c>
      <c r="C235" s="14">
        <v>44739</v>
      </c>
      <c r="D235" s="15">
        <v>95</v>
      </c>
      <c r="E235" t="str">
        <f t="shared" si="3"/>
        <v>1201-614993-44739</v>
      </c>
    </row>
    <row r="236" spans="1:5" ht="14.25" customHeight="1">
      <c r="A236" s="13">
        <v>1201</v>
      </c>
      <c r="B236" s="13">
        <v>614993</v>
      </c>
      <c r="C236" s="14">
        <v>44746</v>
      </c>
      <c r="D236" s="15">
        <v>91</v>
      </c>
      <c r="E236" t="str">
        <f t="shared" si="3"/>
        <v>1201-614993-44746</v>
      </c>
    </row>
    <row r="237" spans="1:5" ht="14.25" customHeight="1">
      <c r="A237" s="13">
        <v>1201</v>
      </c>
      <c r="B237" s="13">
        <v>614993</v>
      </c>
      <c r="C237" s="14">
        <v>44753</v>
      </c>
      <c r="D237" s="15">
        <v>90</v>
      </c>
      <c r="E237" t="str">
        <f t="shared" si="3"/>
        <v>1201-614993-44753</v>
      </c>
    </row>
    <row r="238" spans="1:5" ht="14.25" customHeight="1">
      <c r="A238" s="13">
        <v>1201</v>
      </c>
      <c r="B238" s="13">
        <v>614993</v>
      </c>
      <c r="C238" s="14">
        <v>44760</v>
      </c>
      <c r="D238" s="15">
        <v>90</v>
      </c>
      <c r="E238" t="str">
        <f t="shared" si="3"/>
        <v>1201-614993-44760</v>
      </c>
    </row>
    <row r="239" spans="1:5" ht="14.25" customHeight="1">
      <c r="A239" s="13">
        <v>1201</v>
      </c>
      <c r="B239" s="13">
        <v>614993</v>
      </c>
      <c r="C239" s="14">
        <v>44767</v>
      </c>
      <c r="D239" s="15">
        <v>91</v>
      </c>
      <c r="E239" t="str">
        <f t="shared" si="3"/>
        <v>1201-614993-44767</v>
      </c>
    </row>
    <row r="240" spans="1:5" ht="14.25" customHeight="1">
      <c r="A240" s="13">
        <v>1201</v>
      </c>
      <c r="B240" s="13">
        <v>614993</v>
      </c>
      <c r="C240" s="14">
        <v>44774</v>
      </c>
      <c r="D240" s="15">
        <v>95</v>
      </c>
      <c r="E240" t="str">
        <f t="shared" si="3"/>
        <v>1201-614993-44774</v>
      </c>
    </row>
    <row r="241" spans="1:5" ht="14.25" customHeight="1">
      <c r="A241" s="13">
        <v>1201</v>
      </c>
      <c r="B241" s="13">
        <v>614993</v>
      </c>
      <c r="C241" s="14">
        <v>44781</v>
      </c>
      <c r="D241" s="15">
        <v>88</v>
      </c>
      <c r="E241" t="str">
        <f t="shared" si="3"/>
        <v>1201-614993-44781</v>
      </c>
    </row>
    <row r="242" spans="1:5" ht="14.25" customHeight="1">
      <c r="A242" s="13">
        <v>1201</v>
      </c>
      <c r="B242" s="13">
        <v>614993</v>
      </c>
      <c r="C242" s="14">
        <v>44788</v>
      </c>
      <c r="D242" s="15">
        <v>576</v>
      </c>
      <c r="E242" t="str">
        <f t="shared" si="3"/>
        <v>1201-614993-44788</v>
      </c>
    </row>
    <row r="243" spans="1:5" ht="14.25" customHeight="1">
      <c r="A243" s="13">
        <v>1202</v>
      </c>
      <c r="B243" s="13">
        <v>23393</v>
      </c>
      <c r="C243" s="14">
        <v>44739</v>
      </c>
      <c r="D243" s="15">
        <v>168</v>
      </c>
      <c r="E243" t="str">
        <f t="shared" si="3"/>
        <v>1202-23393-44739</v>
      </c>
    </row>
    <row r="244" spans="1:5" ht="14.25" customHeight="1">
      <c r="A244" s="13">
        <v>1202</v>
      </c>
      <c r="B244" s="13">
        <v>23393</v>
      </c>
      <c r="C244" s="14">
        <v>44746</v>
      </c>
      <c r="D244" s="15">
        <v>496</v>
      </c>
      <c r="E244" t="str">
        <f t="shared" si="3"/>
        <v>1202-23393-44746</v>
      </c>
    </row>
    <row r="245" spans="1:5" ht="14.25" customHeight="1">
      <c r="A245" s="13">
        <v>1202</v>
      </c>
      <c r="B245" s="13">
        <v>23393</v>
      </c>
      <c r="C245" s="14">
        <v>44753</v>
      </c>
      <c r="D245" s="15">
        <v>154</v>
      </c>
      <c r="E245" t="str">
        <f t="shared" si="3"/>
        <v>1202-23393-44753</v>
      </c>
    </row>
    <row r="246" spans="1:5" ht="14.25" customHeight="1">
      <c r="A246" s="13">
        <v>1202</v>
      </c>
      <c r="B246" s="13">
        <v>23393</v>
      </c>
      <c r="C246" s="14">
        <v>44760</v>
      </c>
      <c r="D246" s="15">
        <v>224</v>
      </c>
      <c r="E246" t="str">
        <f t="shared" si="3"/>
        <v>1202-23393-44760</v>
      </c>
    </row>
    <row r="247" spans="1:5" ht="14.25" customHeight="1">
      <c r="A247" s="13">
        <v>1202</v>
      </c>
      <c r="B247" s="13">
        <v>23393</v>
      </c>
      <c r="C247" s="14">
        <v>44767</v>
      </c>
      <c r="D247" s="15">
        <v>524</v>
      </c>
      <c r="E247" t="str">
        <f t="shared" si="3"/>
        <v>1202-23393-44767</v>
      </c>
    </row>
    <row r="248" spans="1:5" ht="14.25" customHeight="1">
      <c r="A248" s="13">
        <v>1202</v>
      </c>
      <c r="B248" s="13">
        <v>23393</v>
      </c>
      <c r="C248" s="14">
        <v>44774</v>
      </c>
      <c r="D248" s="15">
        <v>424</v>
      </c>
      <c r="E248" t="str">
        <f t="shared" si="3"/>
        <v>1202-23393-44774</v>
      </c>
    </row>
    <row r="249" spans="1:5" ht="14.25" customHeight="1">
      <c r="A249" s="13">
        <v>1202</v>
      </c>
      <c r="B249" s="13">
        <v>23393</v>
      </c>
      <c r="C249" s="14">
        <v>44781</v>
      </c>
      <c r="D249" s="15">
        <v>150</v>
      </c>
      <c r="E249" t="str">
        <f t="shared" si="3"/>
        <v>1202-23393-44781</v>
      </c>
    </row>
    <row r="250" spans="1:5" ht="14.25" customHeight="1">
      <c r="A250" s="13">
        <v>1202</v>
      </c>
      <c r="B250" s="13">
        <v>23393</v>
      </c>
      <c r="C250" s="14">
        <v>44788</v>
      </c>
      <c r="D250" s="15">
        <v>234</v>
      </c>
      <c r="E250" t="str">
        <f t="shared" si="3"/>
        <v>1202-23393-44788</v>
      </c>
    </row>
    <row r="251" spans="1:5" ht="14.25" customHeight="1">
      <c r="A251" s="13">
        <v>1202</v>
      </c>
      <c r="B251" s="13">
        <v>26764</v>
      </c>
      <c r="C251" s="14">
        <v>44739</v>
      </c>
      <c r="D251" s="15">
        <v>91</v>
      </c>
      <c r="E251" t="str">
        <f t="shared" si="3"/>
        <v>1202-26764-44739</v>
      </c>
    </row>
    <row r="252" spans="1:5" ht="14.25" customHeight="1">
      <c r="A252" s="13">
        <v>1202</v>
      </c>
      <c r="B252" s="13">
        <v>26764</v>
      </c>
      <c r="C252" s="14">
        <v>44746</v>
      </c>
      <c r="D252" s="15">
        <v>77</v>
      </c>
      <c r="E252" t="str">
        <f t="shared" si="3"/>
        <v>1202-26764-44746</v>
      </c>
    </row>
    <row r="253" spans="1:5" ht="14.25" customHeight="1">
      <c r="A253" s="13">
        <v>1202</v>
      </c>
      <c r="B253" s="13">
        <v>26764</v>
      </c>
      <c r="C253" s="14">
        <v>44753</v>
      </c>
      <c r="D253" s="15">
        <v>26</v>
      </c>
      <c r="E253" t="str">
        <f t="shared" si="3"/>
        <v>1202-26764-44753</v>
      </c>
    </row>
    <row r="254" spans="1:5" ht="14.25" customHeight="1">
      <c r="A254" s="16">
        <v>1202</v>
      </c>
      <c r="B254" s="13">
        <v>26764</v>
      </c>
      <c r="C254" s="14">
        <v>44760</v>
      </c>
      <c r="D254" s="15">
        <v>32</v>
      </c>
      <c r="E254" t="str">
        <f t="shared" si="3"/>
        <v>1202-26764-44760</v>
      </c>
    </row>
    <row r="255" spans="1:5" ht="14.25" customHeight="1">
      <c r="A255" s="13">
        <v>1202</v>
      </c>
      <c r="B255" s="13">
        <v>26764</v>
      </c>
      <c r="C255" s="14">
        <v>44767</v>
      </c>
      <c r="D255" s="15">
        <v>92</v>
      </c>
      <c r="E255" t="str">
        <f t="shared" si="3"/>
        <v>1202-26764-44767</v>
      </c>
    </row>
    <row r="256" spans="1:5" ht="14.25" customHeight="1">
      <c r="A256" s="13">
        <v>1202</v>
      </c>
      <c r="B256" s="13">
        <v>26764</v>
      </c>
      <c r="C256" s="14">
        <v>44774</v>
      </c>
      <c r="D256" s="15">
        <v>115</v>
      </c>
      <c r="E256" t="str">
        <f t="shared" si="3"/>
        <v>1202-26764-44774</v>
      </c>
    </row>
    <row r="257" spans="1:5" ht="14.25" customHeight="1">
      <c r="A257" s="13">
        <v>1202</v>
      </c>
      <c r="B257" s="13">
        <v>26764</v>
      </c>
      <c r="C257" s="14">
        <v>44781</v>
      </c>
      <c r="D257" s="15">
        <v>52</v>
      </c>
      <c r="E257" t="str">
        <f t="shared" si="3"/>
        <v>1202-26764-44781</v>
      </c>
    </row>
    <row r="258" spans="1:5" ht="14.25" customHeight="1">
      <c r="A258" s="13">
        <v>1202</v>
      </c>
      <c r="B258" s="13">
        <v>26764</v>
      </c>
      <c r="C258" s="14">
        <v>44788</v>
      </c>
      <c r="D258" s="15">
        <v>39</v>
      </c>
      <c r="E258" t="str">
        <f t="shared" si="3"/>
        <v>1202-26764-44788</v>
      </c>
    </row>
    <row r="259" spans="1:5" ht="14.25" customHeight="1">
      <c r="A259" s="13">
        <v>1202</v>
      </c>
      <c r="B259" s="13">
        <v>53934</v>
      </c>
      <c r="C259" s="14">
        <v>44739</v>
      </c>
      <c r="D259" s="15">
        <v>165</v>
      </c>
      <c r="E259" t="str">
        <f t="shared" ref="E259:E322" si="4">A259&amp;"-"&amp;B259&amp;"-"&amp;INT(C259)</f>
        <v>1202-53934-44739</v>
      </c>
    </row>
    <row r="260" spans="1:5" ht="14.25" customHeight="1">
      <c r="A260" s="13">
        <v>1202</v>
      </c>
      <c r="B260" s="13">
        <v>53934</v>
      </c>
      <c r="C260" s="14">
        <v>44746</v>
      </c>
      <c r="D260" s="15">
        <v>142</v>
      </c>
      <c r="E260" t="str">
        <f t="shared" si="4"/>
        <v>1202-53934-44746</v>
      </c>
    </row>
    <row r="261" spans="1:5" ht="14.25" customHeight="1">
      <c r="A261" s="13">
        <v>1202</v>
      </c>
      <c r="B261" s="13">
        <v>53934</v>
      </c>
      <c r="C261" s="14">
        <v>44753</v>
      </c>
      <c r="D261" s="15">
        <v>431</v>
      </c>
      <c r="E261" t="str">
        <f t="shared" si="4"/>
        <v>1202-53934-44753</v>
      </c>
    </row>
    <row r="262" spans="1:5" ht="14.25" customHeight="1">
      <c r="A262" s="13">
        <v>1202</v>
      </c>
      <c r="B262" s="13">
        <v>53934</v>
      </c>
      <c r="C262" s="14">
        <v>44760</v>
      </c>
      <c r="D262" s="15">
        <v>394</v>
      </c>
      <c r="E262" t="str">
        <f t="shared" si="4"/>
        <v>1202-53934-44760</v>
      </c>
    </row>
    <row r="263" spans="1:5" ht="14.25" customHeight="1">
      <c r="A263" s="13">
        <v>1202</v>
      </c>
      <c r="B263" s="13">
        <v>53934</v>
      </c>
      <c r="C263" s="14">
        <v>44767</v>
      </c>
      <c r="D263" s="15">
        <v>360</v>
      </c>
      <c r="E263" t="str">
        <f t="shared" si="4"/>
        <v>1202-53934-44767</v>
      </c>
    </row>
    <row r="264" spans="1:5" ht="14.25" customHeight="1">
      <c r="A264" s="13">
        <v>1202</v>
      </c>
      <c r="B264" s="13">
        <v>53934</v>
      </c>
      <c r="C264" s="14">
        <v>44774</v>
      </c>
      <c r="D264" s="15">
        <v>394</v>
      </c>
      <c r="E264" t="str">
        <f t="shared" si="4"/>
        <v>1202-53934-44774</v>
      </c>
    </row>
    <row r="265" spans="1:5" ht="14.25" customHeight="1">
      <c r="A265" s="13">
        <v>1202</v>
      </c>
      <c r="B265" s="13">
        <v>53934</v>
      </c>
      <c r="C265" s="14">
        <v>44781</v>
      </c>
      <c r="D265" s="15">
        <v>139</v>
      </c>
      <c r="E265" t="str">
        <f t="shared" si="4"/>
        <v>1202-53934-44781</v>
      </c>
    </row>
    <row r="266" spans="1:5" ht="14.25" customHeight="1">
      <c r="A266" s="13">
        <v>1202</v>
      </c>
      <c r="B266" s="13">
        <v>53934</v>
      </c>
      <c r="C266" s="14">
        <v>44788</v>
      </c>
      <c r="D266" s="15">
        <v>144</v>
      </c>
      <c r="E266" t="str">
        <f t="shared" si="4"/>
        <v>1202-53934-44788</v>
      </c>
    </row>
    <row r="267" spans="1:5" ht="14.25" customHeight="1">
      <c r="A267" s="13">
        <v>1202</v>
      </c>
      <c r="B267" s="13">
        <v>78699</v>
      </c>
      <c r="C267" s="14">
        <v>44739</v>
      </c>
      <c r="D267" s="15">
        <v>44</v>
      </c>
      <c r="E267" t="str">
        <f t="shared" si="4"/>
        <v>1202-78699-44739</v>
      </c>
    </row>
    <row r="268" spans="1:5" ht="14.25" customHeight="1">
      <c r="A268" s="13">
        <v>1202</v>
      </c>
      <c r="B268" s="13">
        <v>78699</v>
      </c>
      <c r="C268" s="14">
        <v>44746</v>
      </c>
      <c r="D268" s="15">
        <v>24</v>
      </c>
      <c r="E268" t="str">
        <f t="shared" si="4"/>
        <v>1202-78699-44746</v>
      </c>
    </row>
    <row r="269" spans="1:5" ht="14.25" customHeight="1">
      <c r="A269" s="13">
        <v>1202</v>
      </c>
      <c r="B269" s="13">
        <v>78699</v>
      </c>
      <c r="C269" s="14">
        <v>44753</v>
      </c>
      <c r="D269" s="15">
        <v>40</v>
      </c>
      <c r="E269" t="str">
        <f t="shared" si="4"/>
        <v>1202-78699-44753</v>
      </c>
    </row>
    <row r="270" spans="1:5" ht="14.25" customHeight="1">
      <c r="A270" s="13">
        <v>1202</v>
      </c>
      <c r="B270" s="13">
        <v>78699</v>
      </c>
      <c r="C270" s="14">
        <v>44760</v>
      </c>
      <c r="D270" s="15">
        <v>30</v>
      </c>
      <c r="E270" t="str">
        <f t="shared" si="4"/>
        <v>1202-78699-44760</v>
      </c>
    </row>
    <row r="271" spans="1:5" ht="14.25" customHeight="1">
      <c r="A271" s="13">
        <v>1202</v>
      </c>
      <c r="B271" s="13">
        <v>78699</v>
      </c>
      <c r="C271" s="14">
        <v>44767</v>
      </c>
      <c r="D271" s="15">
        <v>58</v>
      </c>
      <c r="E271" t="str">
        <f t="shared" si="4"/>
        <v>1202-78699-44767</v>
      </c>
    </row>
    <row r="272" spans="1:5" ht="14.25" customHeight="1">
      <c r="A272" s="13">
        <v>1202</v>
      </c>
      <c r="B272" s="13">
        <v>78699</v>
      </c>
      <c r="C272" s="14">
        <v>44774</v>
      </c>
      <c r="D272" s="15">
        <v>16</v>
      </c>
      <c r="E272" t="str">
        <f t="shared" si="4"/>
        <v>1202-78699-44774</v>
      </c>
    </row>
    <row r="273" spans="1:5" ht="14.25" customHeight="1">
      <c r="A273" s="13">
        <v>1202</v>
      </c>
      <c r="B273" s="13">
        <v>78699</v>
      </c>
      <c r="C273" s="14">
        <v>44781</v>
      </c>
      <c r="D273" s="15">
        <v>44</v>
      </c>
      <c r="E273" t="str">
        <f t="shared" si="4"/>
        <v>1202-78699-44781</v>
      </c>
    </row>
    <row r="274" spans="1:5" ht="14.25" customHeight="1">
      <c r="A274" s="13">
        <v>1202</v>
      </c>
      <c r="B274" s="13">
        <v>78699</v>
      </c>
      <c r="C274" s="14">
        <v>44788</v>
      </c>
      <c r="D274" s="15">
        <v>52</v>
      </c>
      <c r="E274" t="str">
        <f t="shared" si="4"/>
        <v>1202-78699-44788</v>
      </c>
    </row>
    <row r="275" spans="1:5" ht="14.25" customHeight="1">
      <c r="A275" s="13">
        <v>1202</v>
      </c>
      <c r="B275" s="13">
        <v>78869</v>
      </c>
      <c r="C275" s="14">
        <v>44739</v>
      </c>
      <c r="D275" s="15">
        <v>9</v>
      </c>
      <c r="E275" t="str">
        <f t="shared" si="4"/>
        <v>1202-78869-44739</v>
      </c>
    </row>
    <row r="276" spans="1:5" ht="14.25" customHeight="1">
      <c r="A276" s="13">
        <v>1202</v>
      </c>
      <c r="B276" s="13">
        <v>78869</v>
      </c>
      <c r="C276" s="14">
        <v>44746</v>
      </c>
      <c r="D276" s="15">
        <v>9</v>
      </c>
      <c r="E276" t="str">
        <f t="shared" si="4"/>
        <v>1202-78869-44746</v>
      </c>
    </row>
    <row r="277" spans="1:5" ht="14.25" customHeight="1">
      <c r="A277" s="13">
        <v>1202</v>
      </c>
      <c r="B277" s="13">
        <v>78869</v>
      </c>
      <c r="C277" s="14">
        <v>44753</v>
      </c>
      <c r="D277" s="15">
        <v>9</v>
      </c>
      <c r="E277" t="str">
        <f t="shared" si="4"/>
        <v>1202-78869-44753</v>
      </c>
    </row>
    <row r="278" spans="1:5" ht="14.25" customHeight="1">
      <c r="A278" s="13">
        <v>1202</v>
      </c>
      <c r="B278" s="13">
        <v>78869</v>
      </c>
      <c r="C278" s="14">
        <v>44760</v>
      </c>
      <c r="D278" s="15">
        <v>9</v>
      </c>
      <c r="E278" t="str">
        <f t="shared" si="4"/>
        <v>1202-78869-44760</v>
      </c>
    </row>
    <row r="279" spans="1:5" ht="14.25" customHeight="1">
      <c r="A279" s="13">
        <v>1202</v>
      </c>
      <c r="B279" s="13">
        <v>78869</v>
      </c>
      <c r="C279" s="14">
        <v>44767</v>
      </c>
      <c r="D279" s="15">
        <v>9</v>
      </c>
      <c r="E279" t="str">
        <f t="shared" si="4"/>
        <v>1202-78869-44767</v>
      </c>
    </row>
    <row r="280" spans="1:5" ht="14.25" customHeight="1">
      <c r="A280" s="13">
        <v>1202</v>
      </c>
      <c r="B280" s="13">
        <v>78869</v>
      </c>
      <c r="C280" s="14">
        <v>44774</v>
      </c>
      <c r="D280" s="15">
        <v>9</v>
      </c>
      <c r="E280" t="str">
        <f t="shared" si="4"/>
        <v>1202-78869-44774</v>
      </c>
    </row>
    <row r="281" spans="1:5" ht="14.25" customHeight="1">
      <c r="A281" s="13">
        <v>1202</v>
      </c>
      <c r="B281" s="13">
        <v>78869</v>
      </c>
      <c r="C281" s="14">
        <v>44781</v>
      </c>
      <c r="D281" s="15">
        <v>9</v>
      </c>
      <c r="E281" t="str">
        <f t="shared" si="4"/>
        <v>1202-78869-44781</v>
      </c>
    </row>
    <row r="282" spans="1:5" ht="14.25" customHeight="1">
      <c r="A282" s="13">
        <v>1202</v>
      </c>
      <c r="B282" s="13">
        <v>78869</v>
      </c>
      <c r="C282" s="14">
        <v>44788</v>
      </c>
      <c r="D282" s="15">
        <v>9</v>
      </c>
      <c r="E282" t="str">
        <f t="shared" si="4"/>
        <v>1202-78869-44788</v>
      </c>
    </row>
    <row r="283" spans="1:5" ht="14.25" customHeight="1">
      <c r="A283" s="13">
        <v>1202</v>
      </c>
      <c r="B283" s="13">
        <v>115600</v>
      </c>
      <c r="C283" s="14">
        <v>44739</v>
      </c>
      <c r="D283" s="15">
        <v>87</v>
      </c>
      <c r="E283" t="str">
        <f t="shared" si="4"/>
        <v>1202-115600-44739</v>
      </c>
    </row>
    <row r="284" spans="1:5" ht="14.25" customHeight="1">
      <c r="A284" s="13">
        <v>1202</v>
      </c>
      <c r="B284" s="13">
        <v>115600</v>
      </c>
      <c r="C284" s="14">
        <v>44746</v>
      </c>
      <c r="D284" s="15">
        <v>100</v>
      </c>
      <c r="E284" t="str">
        <f t="shared" si="4"/>
        <v>1202-115600-44746</v>
      </c>
    </row>
    <row r="285" spans="1:5" ht="14.25" customHeight="1">
      <c r="A285" s="13">
        <v>1202</v>
      </c>
      <c r="B285" s="13">
        <v>115600</v>
      </c>
      <c r="C285" s="14">
        <v>44753</v>
      </c>
      <c r="D285" s="15">
        <v>103</v>
      </c>
      <c r="E285" t="str">
        <f t="shared" si="4"/>
        <v>1202-115600-44753</v>
      </c>
    </row>
    <row r="286" spans="1:5" ht="14.25" customHeight="1">
      <c r="A286" s="13">
        <v>1202</v>
      </c>
      <c r="B286" s="13">
        <v>115600</v>
      </c>
      <c r="C286" s="14">
        <v>44760</v>
      </c>
      <c r="D286" s="15">
        <v>57</v>
      </c>
      <c r="E286" t="str">
        <f t="shared" si="4"/>
        <v>1202-115600-44760</v>
      </c>
    </row>
    <row r="287" spans="1:5" ht="14.25" customHeight="1">
      <c r="A287" s="13">
        <v>1202</v>
      </c>
      <c r="B287" s="13">
        <v>115600</v>
      </c>
      <c r="C287" s="14">
        <v>44767</v>
      </c>
      <c r="D287" s="15">
        <v>84</v>
      </c>
      <c r="E287" t="str">
        <f t="shared" si="4"/>
        <v>1202-115600-44767</v>
      </c>
    </row>
    <row r="288" spans="1:5" ht="14.25" customHeight="1">
      <c r="A288" s="13">
        <v>1202</v>
      </c>
      <c r="B288" s="13">
        <v>115600</v>
      </c>
      <c r="C288" s="14">
        <v>44774</v>
      </c>
      <c r="D288" s="15">
        <v>50</v>
      </c>
      <c r="E288" t="str">
        <f t="shared" si="4"/>
        <v>1202-115600-44774</v>
      </c>
    </row>
    <row r="289" spans="1:5" ht="14.25" customHeight="1">
      <c r="A289" s="13">
        <v>1202</v>
      </c>
      <c r="B289" s="13">
        <v>115600</v>
      </c>
      <c r="C289" s="14">
        <v>44781</v>
      </c>
      <c r="D289" s="15">
        <v>89</v>
      </c>
      <c r="E289" t="str">
        <f t="shared" si="4"/>
        <v>1202-115600-44781</v>
      </c>
    </row>
    <row r="290" spans="1:5" ht="14.25" customHeight="1">
      <c r="A290" s="13">
        <v>1202</v>
      </c>
      <c r="B290" s="13">
        <v>115600</v>
      </c>
      <c r="C290" s="14">
        <v>44788</v>
      </c>
      <c r="D290" s="15">
        <v>105</v>
      </c>
      <c r="E290" t="str">
        <f t="shared" si="4"/>
        <v>1202-115600-44788</v>
      </c>
    </row>
    <row r="291" spans="1:5" ht="14.25" customHeight="1">
      <c r="A291" s="13">
        <v>1202</v>
      </c>
      <c r="B291" s="13">
        <v>129208</v>
      </c>
      <c r="C291" s="14">
        <v>44739</v>
      </c>
      <c r="D291" s="15">
        <v>80</v>
      </c>
      <c r="E291" t="str">
        <f t="shared" si="4"/>
        <v>1202-129208-44739</v>
      </c>
    </row>
    <row r="292" spans="1:5" ht="14.25" customHeight="1">
      <c r="A292" s="13">
        <v>1202</v>
      </c>
      <c r="B292" s="13">
        <v>129208</v>
      </c>
      <c r="C292" s="14">
        <v>44746</v>
      </c>
      <c r="D292" s="15">
        <v>41</v>
      </c>
      <c r="E292" t="str">
        <f t="shared" si="4"/>
        <v>1202-129208-44746</v>
      </c>
    </row>
    <row r="293" spans="1:5" ht="14.25" customHeight="1">
      <c r="A293" s="13">
        <v>1202</v>
      </c>
      <c r="B293" s="13">
        <v>129208</v>
      </c>
      <c r="C293" s="14">
        <v>44753</v>
      </c>
      <c r="D293" s="15">
        <v>60</v>
      </c>
      <c r="E293" t="str">
        <f t="shared" si="4"/>
        <v>1202-129208-44753</v>
      </c>
    </row>
    <row r="294" spans="1:5" ht="14.25" customHeight="1">
      <c r="A294" s="13">
        <v>1202</v>
      </c>
      <c r="B294" s="13">
        <v>129208</v>
      </c>
      <c r="C294" s="14">
        <v>44760</v>
      </c>
      <c r="D294" s="15">
        <v>103</v>
      </c>
      <c r="E294" t="str">
        <f t="shared" si="4"/>
        <v>1202-129208-44760</v>
      </c>
    </row>
    <row r="295" spans="1:5" ht="14.25" customHeight="1">
      <c r="A295" s="13">
        <v>1202</v>
      </c>
      <c r="B295" s="13">
        <v>129208</v>
      </c>
      <c r="C295" s="14">
        <v>44767</v>
      </c>
      <c r="D295" s="15">
        <v>84</v>
      </c>
      <c r="E295" t="str">
        <f t="shared" si="4"/>
        <v>1202-129208-44767</v>
      </c>
    </row>
    <row r="296" spans="1:5" ht="14.25" customHeight="1">
      <c r="A296" s="13">
        <v>1202</v>
      </c>
      <c r="B296" s="13">
        <v>129208</v>
      </c>
      <c r="C296" s="14">
        <v>44774</v>
      </c>
      <c r="D296" s="15">
        <v>42</v>
      </c>
      <c r="E296" t="str">
        <f t="shared" si="4"/>
        <v>1202-129208-44774</v>
      </c>
    </row>
    <row r="297" spans="1:5" ht="14.25" customHeight="1">
      <c r="A297" s="13">
        <v>1202</v>
      </c>
      <c r="B297" s="13">
        <v>129208</v>
      </c>
      <c r="C297" s="14">
        <v>44781</v>
      </c>
      <c r="D297" s="15">
        <v>98</v>
      </c>
      <c r="E297" t="str">
        <f t="shared" si="4"/>
        <v>1202-129208-44781</v>
      </c>
    </row>
    <row r="298" spans="1:5" ht="14.25" customHeight="1">
      <c r="A298" s="13">
        <v>1202</v>
      </c>
      <c r="B298" s="13">
        <v>129208</v>
      </c>
      <c r="C298" s="14">
        <v>44788</v>
      </c>
      <c r="D298" s="15">
        <v>109</v>
      </c>
      <c r="E298" t="str">
        <f t="shared" si="4"/>
        <v>1202-129208-44788</v>
      </c>
    </row>
    <row r="299" spans="1:5" ht="14.25" customHeight="1">
      <c r="A299" s="13">
        <v>1202</v>
      </c>
      <c r="B299" s="13">
        <v>141622</v>
      </c>
      <c r="C299" s="14">
        <v>44739</v>
      </c>
      <c r="D299" s="15">
        <v>98</v>
      </c>
      <c r="E299" t="str">
        <f t="shared" si="4"/>
        <v>1202-141622-44739</v>
      </c>
    </row>
    <row r="300" spans="1:5" ht="14.25" customHeight="1">
      <c r="A300" s="13">
        <v>1202</v>
      </c>
      <c r="B300" s="13">
        <v>141622</v>
      </c>
      <c r="C300" s="14">
        <v>44746</v>
      </c>
      <c r="D300" s="15">
        <v>113</v>
      </c>
      <c r="E300" t="str">
        <f t="shared" si="4"/>
        <v>1202-141622-44746</v>
      </c>
    </row>
    <row r="301" spans="1:5" ht="14.25" customHeight="1">
      <c r="A301" s="13">
        <v>1202</v>
      </c>
      <c r="B301" s="13">
        <v>141622</v>
      </c>
      <c r="C301" s="14">
        <v>44753</v>
      </c>
      <c r="D301" s="15">
        <v>159</v>
      </c>
      <c r="E301" t="str">
        <f t="shared" si="4"/>
        <v>1202-141622-44753</v>
      </c>
    </row>
    <row r="302" spans="1:5" ht="14.25" customHeight="1">
      <c r="A302" s="13">
        <v>1202</v>
      </c>
      <c r="B302" s="13">
        <v>141622</v>
      </c>
      <c r="C302" s="14">
        <v>44760</v>
      </c>
      <c r="D302" s="15">
        <v>106</v>
      </c>
      <c r="E302" t="str">
        <f t="shared" si="4"/>
        <v>1202-141622-44760</v>
      </c>
    </row>
    <row r="303" spans="1:5" ht="14.25" customHeight="1">
      <c r="A303" s="13">
        <v>1202</v>
      </c>
      <c r="B303" s="13">
        <v>141622</v>
      </c>
      <c r="C303" s="14">
        <v>44767</v>
      </c>
      <c r="D303" s="15">
        <v>34</v>
      </c>
      <c r="E303" t="str">
        <f t="shared" si="4"/>
        <v>1202-141622-44767</v>
      </c>
    </row>
    <row r="304" spans="1:5" ht="14.25" customHeight="1">
      <c r="A304" s="13">
        <v>1202</v>
      </c>
      <c r="B304" s="13">
        <v>141622</v>
      </c>
      <c r="C304" s="14">
        <v>44774</v>
      </c>
      <c r="D304" s="15">
        <v>135</v>
      </c>
      <c r="E304" t="str">
        <f t="shared" si="4"/>
        <v>1202-141622-44774</v>
      </c>
    </row>
    <row r="305" spans="1:5" ht="14.25" customHeight="1">
      <c r="A305" s="13">
        <v>1202</v>
      </c>
      <c r="B305" s="13">
        <v>141622</v>
      </c>
      <c r="C305" s="14">
        <v>44781</v>
      </c>
      <c r="D305" s="15">
        <v>157</v>
      </c>
      <c r="E305" t="str">
        <f t="shared" si="4"/>
        <v>1202-141622-44781</v>
      </c>
    </row>
    <row r="306" spans="1:5" ht="14.25" customHeight="1">
      <c r="A306" s="13">
        <v>1202</v>
      </c>
      <c r="B306" s="13">
        <v>141622</v>
      </c>
      <c r="C306" s="14">
        <v>44788</v>
      </c>
      <c r="D306" s="15">
        <v>128</v>
      </c>
      <c r="E306" t="str">
        <f t="shared" si="4"/>
        <v>1202-141622-44788</v>
      </c>
    </row>
    <row r="307" spans="1:5" ht="14.25" customHeight="1">
      <c r="A307" s="13">
        <v>1202</v>
      </c>
      <c r="B307" s="13">
        <v>141626</v>
      </c>
      <c r="C307" s="14">
        <v>44739</v>
      </c>
      <c r="D307" s="15">
        <v>612</v>
      </c>
      <c r="E307" t="str">
        <f t="shared" si="4"/>
        <v>1202-141626-44739</v>
      </c>
    </row>
    <row r="308" spans="1:5" ht="14.25" customHeight="1">
      <c r="A308" s="13">
        <v>1202</v>
      </c>
      <c r="B308" s="13">
        <v>141626</v>
      </c>
      <c r="C308" s="14">
        <v>44746</v>
      </c>
      <c r="D308" s="15">
        <v>688</v>
      </c>
      <c r="E308" t="str">
        <f t="shared" si="4"/>
        <v>1202-141626-44746</v>
      </c>
    </row>
    <row r="309" spans="1:5" ht="14.25" customHeight="1">
      <c r="A309" s="13">
        <v>1202</v>
      </c>
      <c r="B309" s="13">
        <v>141626</v>
      </c>
      <c r="C309" s="14">
        <v>44753</v>
      </c>
      <c r="D309" s="15">
        <v>601</v>
      </c>
      <c r="E309" t="str">
        <f t="shared" si="4"/>
        <v>1202-141626-44753</v>
      </c>
    </row>
    <row r="310" spans="1:5" ht="14.25" customHeight="1">
      <c r="A310" s="13">
        <v>1202</v>
      </c>
      <c r="B310" s="13">
        <v>141626</v>
      </c>
      <c r="C310" s="14">
        <v>44760</v>
      </c>
      <c r="D310" s="15">
        <v>598</v>
      </c>
      <c r="E310" t="str">
        <f t="shared" si="4"/>
        <v>1202-141626-44760</v>
      </c>
    </row>
    <row r="311" spans="1:5" ht="14.25" customHeight="1">
      <c r="A311" s="13">
        <v>1202</v>
      </c>
      <c r="B311" s="13">
        <v>141626</v>
      </c>
      <c r="C311" s="14">
        <v>44767</v>
      </c>
      <c r="D311" s="15">
        <v>349</v>
      </c>
      <c r="E311" t="str">
        <f t="shared" si="4"/>
        <v>1202-141626-44767</v>
      </c>
    </row>
    <row r="312" spans="1:5" ht="14.25" customHeight="1">
      <c r="A312" s="13">
        <v>1202</v>
      </c>
      <c r="B312" s="13">
        <v>141626</v>
      </c>
      <c r="C312" s="14">
        <v>44774</v>
      </c>
      <c r="D312" s="15">
        <v>462</v>
      </c>
      <c r="E312" t="str">
        <f t="shared" si="4"/>
        <v>1202-141626-44774</v>
      </c>
    </row>
    <row r="313" spans="1:5" ht="14.25" customHeight="1">
      <c r="A313" s="13">
        <v>1202</v>
      </c>
      <c r="B313" s="13">
        <v>141626</v>
      </c>
      <c r="C313" s="14">
        <v>44781</v>
      </c>
      <c r="D313" s="15">
        <v>539</v>
      </c>
      <c r="E313" t="str">
        <f t="shared" si="4"/>
        <v>1202-141626-44781</v>
      </c>
    </row>
    <row r="314" spans="1:5" ht="14.25" customHeight="1">
      <c r="A314" s="13">
        <v>1202</v>
      </c>
      <c r="B314" s="13">
        <v>141626</v>
      </c>
      <c r="C314" s="14">
        <v>44788</v>
      </c>
      <c r="D314" s="15">
        <v>584</v>
      </c>
      <c r="E314" t="str">
        <f t="shared" si="4"/>
        <v>1202-141626-44788</v>
      </c>
    </row>
    <row r="315" spans="1:5" ht="14.25" customHeight="1">
      <c r="A315" s="13">
        <v>1202</v>
      </c>
      <c r="B315" s="13">
        <v>141791</v>
      </c>
      <c r="C315" s="14">
        <v>44739</v>
      </c>
      <c r="D315" s="15">
        <v>55</v>
      </c>
      <c r="E315" t="str">
        <f t="shared" si="4"/>
        <v>1202-141791-44739</v>
      </c>
    </row>
    <row r="316" spans="1:5" ht="14.25" customHeight="1">
      <c r="A316" s="13">
        <v>1202</v>
      </c>
      <c r="B316" s="13">
        <v>141791</v>
      </c>
      <c r="C316" s="14">
        <v>44746</v>
      </c>
      <c r="D316" s="15">
        <v>51</v>
      </c>
      <c r="E316" t="str">
        <f t="shared" si="4"/>
        <v>1202-141791-44746</v>
      </c>
    </row>
    <row r="317" spans="1:5" ht="14.25" customHeight="1">
      <c r="A317" s="13">
        <v>1202</v>
      </c>
      <c r="B317" s="13">
        <v>141791</v>
      </c>
      <c r="C317" s="14">
        <v>44753</v>
      </c>
      <c r="D317" s="15">
        <v>57</v>
      </c>
      <c r="E317" t="str">
        <f t="shared" si="4"/>
        <v>1202-141791-44753</v>
      </c>
    </row>
    <row r="318" spans="1:5" ht="14.25" customHeight="1">
      <c r="A318" s="13">
        <v>1202</v>
      </c>
      <c r="B318" s="13">
        <v>141791</v>
      </c>
      <c r="C318" s="14">
        <v>44760</v>
      </c>
      <c r="D318" s="15">
        <v>55</v>
      </c>
      <c r="E318" t="str">
        <f t="shared" si="4"/>
        <v>1202-141791-44760</v>
      </c>
    </row>
    <row r="319" spans="1:5" ht="14.25" customHeight="1">
      <c r="A319" s="13">
        <v>1202</v>
      </c>
      <c r="B319" s="13">
        <v>141791</v>
      </c>
      <c r="C319" s="14">
        <v>44767</v>
      </c>
      <c r="D319" s="15">
        <v>61</v>
      </c>
      <c r="E319" t="str">
        <f t="shared" si="4"/>
        <v>1202-141791-44767</v>
      </c>
    </row>
    <row r="320" spans="1:5" ht="14.25" customHeight="1">
      <c r="A320" s="13">
        <v>1202</v>
      </c>
      <c r="B320" s="13">
        <v>141791</v>
      </c>
      <c r="C320" s="14">
        <v>44774</v>
      </c>
      <c r="D320" s="15">
        <v>51</v>
      </c>
      <c r="E320" t="str">
        <f t="shared" si="4"/>
        <v>1202-141791-44774</v>
      </c>
    </row>
    <row r="321" spans="1:5" ht="14.25" customHeight="1">
      <c r="A321" s="13">
        <v>1202</v>
      </c>
      <c r="B321" s="13">
        <v>141791</v>
      </c>
      <c r="C321" s="14">
        <v>44781</v>
      </c>
      <c r="D321" s="15">
        <v>35</v>
      </c>
      <c r="E321" t="str">
        <f t="shared" si="4"/>
        <v>1202-141791-44781</v>
      </c>
    </row>
    <row r="322" spans="1:5" ht="14.25" customHeight="1">
      <c r="A322" s="13">
        <v>1202</v>
      </c>
      <c r="B322" s="13">
        <v>141791</v>
      </c>
      <c r="C322" s="14">
        <v>44788</v>
      </c>
      <c r="D322" s="15">
        <v>39</v>
      </c>
      <c r="E322" t="str">
        <f t="shared" si="4"/>
        <v>1202-141791-44788</v>
      </c>
    </row>
    <row r="323" spans="1:5" ht="14.25" customHeight="1">
      <c r="A323" s="13">
        <v>1202</v>
      </c>
      <c r="B323" s="13">
        <v>141846</v>
      </c>
      <c r="C323" s="14">
        <v>44739</v>
      </c>
      <c r="D323" s="15">
        <v>13</v>
      </c>
      <c r="E323" t="str">
        <f t="shared" ref="E323:E386" si="5">A323&amp;"-"&amp;B323&amp;"-"&amp;INT(C323)</f>
        <v>1202-141846-44739</v>
      </c>
    </row>
    <row r="324" spans="1:5" ht="14.25" customHeight="1">
      <c r="A324" s="13">
        <v>1202</v>
      </c>
      <c r="B324" s="13">
        <v>141846</v>
      </c>
      <c r="C324" s="14">
        <v>44746</v>
      </c>
      <c r="D324" s="15">
        <v>12</v>
      </c>
      <c r="E324" t="str">
        <f t="shared" si="5"/>
        <v>1202-141846-44746</v>
      </c>
    </row>
    <row r="325" spans="1:5" ht="14.25" customHeight="1">
      <c r="A325" s="13">
        <v>1202</v>
      </c>
      <c r="B325" s="13">
        <v>141846</v>
      </c>
      <c r="C325" s="14">
        <v>44753</v>
      </c>
      <c r="D325" s="15">
        <v>6</v>
      </c>
      <c r="E325" t="str">
        <f t="shared" si="5"/>
        <v>1202-141846-44753</v>
      </c>
    </row>
    <row r="326" spans="1:5" ht="14.25" customHeight="1">
      <c r="A326" s="13">
        <v>1202</v>
      </c>
      <c r="B326" s="13">
        <v>141846</v>
      </c>
      <c r="C326" s="14">
        <v>44760</v>
      </c>
      <c r="D326" s="15">
        <v>12</v>
      </c>
      <c r="E326" t="str">
        <f t="shared" si="5"/>
        <v>1202-141846-44760</v>
      </c>
    </row>
    <row r="327" spans="1:5" ht="14.25" customHeight="1">
      <c r="A327" s="13">
        <v>1202</v>
      </c>
      <c r="B327" s="13">
        <v>141846</v>
      </c>
      <c r="C327" s="14">
        <v>44767</v>
      </c>
      <c r="D327" s="15">
        <v>14</v>
      </c>
      <c r="E327" t="str">
        <f t="shared" si="5"/>
        <v>1202-141846-44767</v>
      </c>
    </row>
    <row r="328" spans="1:5" ht="14.25" customHeight="1">
      <c r="A328" s="13">
        <v>1202</v>
      </c>
      <c r="B328" s="13">
        <v>141846</v>
      </c>
      <c r="C328" s="14">
        <v>44774</v>
      </c>
      <c r="D328" s="15">
        <v>12</v>
      </c>
      <c r="E328" t="str">
        <f t="shared" si="5"/>
        <v>1202-141846-44774</v>
      </c>
    </row>
    <row r="329" spans="1:5" ht="14.25" customHeight="1">
      <c r="A329" s="13">
        <v>1202</v>
      </c>
      <c r="B329" s="13">
        <v>141846</v>
      </c>
      <c r="C329" s="14">
        <v>44781</v>
      </c>
      <c r="D329" s="15">
        <v>12</v>
      </c>
      <c r="E329" t="str">
        <f t="shared" si="5"/>
        <v>1202-141846-44781</v>
      </c>
    </row>
    <row r="330" spans="1:5" ht="14.25" customHeight="1">
      <c r="A330" s="13">
        <v>1202</v>
      </c>
      <c r="B330" s="13">
        <v>141846</v>
      </c>
      <c r="C330" s="14">
        <v>44788</v>
      </c>
      <c r="D330" s="15">
        <v>16</v>
      </c>
      <c r="E330" t="str">
        <f t="shared" si="5"/>
        <v>1202-141846-44788</v>
      </c>
    </row>
    <row r="331" spans="1:5" ht="14.25" customHeight="1">
      <c r="A331" s="13">
        <v>1202</v>
      </c>
      <c r="B331" s="13">
        <v>141967</v>
      </c>
      <c r="C331" s="14">
        <v>44739</v>
      </c>
      <c r="D331" s="15">
        <v>6</v>
      </c>
      <c r="E331" t="str">
        <f t="shared" si="5"/>
        <v>1202-141967-44739</v>
      </c>
    </row>
    <row r="332" spans="1:5" ht="14.25" customHeight="1">
      <c r="A332" s="13">
        <v>1202</v>
      </c>
      <c r="B332" s="13">
        <v>141967</v>
      </c>
      <c r="C332" s="14">
        <v>44746</v>
      </c>
      <c r="D332" s="15">
        <v>15</v>
      </c>
      <c r="E332" t="str">
        <f t="shared" si="5"/>
        <v>1202-141967-44746</v>
      </c>
    </row>
    <row r="333" spans="1:5" ht="14.25" customHeight="1">
      <c r="A333" s="13">
        <v>1202</v>
      </c>
      <c r="B333" s="13">
        <v>141967</v>
      </c>
      <c r="C333" s="14">
        <v>44753</v>
      </c>
      <c r="D333" s="15">
        <v>17</v>
      </c>
      <c r="E333" t="str">
        <f t="shared" si="5"/>
        <v>1202-141967-44753</v>
      </c>
    </row>
    <row r="334" spans="1:5" ht="14.25" customHeight="1">
      <c r="A334" s="13">
        <v>1202</v>
      </c>
      <c r="B334" s="13">
        <v>141967</v>
      </c>
      <c r="C334" s="14">
        <v>44760</v>
      </c>
      <c r="D334" s="15">
        <v>-1</v>
      </c>
      <c r="E334" t="str">
        <f t="shared" si="5"/>
        <v>1202-141967-44760</v>
      </c>
    </row>
    <row r="335" spans="1:5" ht="14.25" customHeight="1">
      <c r="A335" s="13">
        <v>1202</v>
      </c>
      <c r="B335" s="13">
        <v>141967</v>
      </c>
      <c r="C335" s="14">
        <v>44767</v>
      </c>
      <c r="D335" s="15">
        <v>15</v>
      </c>
      <c r="E335" t="str">
        <f t="shared" si="5"/>
        <v>1202-141967-44767</v>
      </c>
    </row>
    <row r="336" spans="1:5" ht="14.25" customHeight="1">
      <c r="A336" s="13">
        <v>1202</v>
      </c>
      <c r="B336" s="13">
        <v>141967</v>
      </c>
      <c r="C336" s="14">
        <v>44774</v>
      </c>
      <c r="D336" s="15">
        <v>15</v>
      </c>
      <c r="E336" t="str">
        <f t="shared" si="5"/>
        <v>1202-141967-44774</v>
      </c>
    </row>
    <row r="337" spans="1:5" ht="14.25" customHeight="1">
      <c r="A337" s="13">
        <v>1202</v>
      </c>
      <c r="B337" s="13">
        <v>141967</v>
      </c>
      <c r="C337" s="14">
        <v>44781</v>
      </c>
      <c r="D337" s="15">
        <v>9</v>
      </c>
      <c r="E337" t="str">
        <f t="shared" si="5"/>
        <v>1202-141967-44781</v>
      </c>
    </row>
    <row r="338" spans="1:5" ht="14.25" customHeight="1">
      <c r="A338" s="13">
        <v>1202</v>
      </c>
      <c r="B338" s="13">
        <v>141967</v>
      </c>
      <c r="C338" s="14">
        <v>44788</v>
      </c>
      <c r="D338" s="15">
        <v>23</v>
      </c>
      <c r="E338" t="str">
        <f t="shared" si="5"/>
        <v>1202-141967-44788</v>
      </c>
    </row>
    <row r="339" spans="1:5" ht="14.25" customHeight="1">
      <c r="A339" s="13">
        <v>1202</v>
      </c>
      <c r="B339" s="13">
        <v>142194</v>
      </c>
      <c r="C339" s="14">
        <v>44739</v>
      </c>
      <c r="D339" s="15">
        <v>17</v>
      </c>
      <c r="E339" t="str">
        <f t="shared" si="5"/>
        <v>1202-142194-44739</v>
      </c>
    </row>
    <row r="340" spans="1:5" ht="14.25" customHeight="1">
      <c r="A340" s="13">
        <v>1202</v>
      </c>
      <c r="B340" s="13">
        <v>142194</v>
      </c>
      <c r="C340" s="14">
        <v>44746</v>
      </c>
      <c r="D340" s="15">
        <v>9</v>
      </c>
      <c r="E340" t="str">
        <f t="shared" si="5"/>
        <v>1202-142194-44746</v>
      </c>
    </row>
    <row r="341" spans="1:5" ht="14.25" customHeight="1">
      <c r="A341" s="13">
        <v>1202</v>
      </c>
      <c r="B341" s="13">
        <v>142194</v>
      </c>
      <c r="C341" s="14">
        <v>44753</v>
      </c>
      <c r="D341" s="15">
        <v>15</v>
      </c>
      <c r="E341" t="str">
        <f t="shared" si="5"/>
        <v>1202-142194-44753</v>
      </c>
    </row>
    <row r="342" spans="1:5" ht="14.25" customHeight="1">
      <c r="A342" s="13">
        <v>1202</v>
      </c>
      <c r="B342" s="13">
        <v>142194</v>
      </c>
      <c r="C342" s="14">
        <v>44760</v>
      </c>
      <c r="D342" s="15">
        <v>21</v>
      </c>
      <c r="E342" t="str">
        <f t="shared" si="5"/>
        <v>1202-142194-44760</v>
      </c>
    </row>
    <row r="343" spans="1:5" ht="14.25" customHeight="1">
      <c r="A343" s="13">
        <v>1202</v>
      </c>
      <c r="B343" s="13">
        <v>142194</v>
      </c>
      <c r="C343" s="14">
        <v>44767</v>
      </c>
      <c r="D343" s="15">
        <v>15</v>
      </c>
      <c r="E343" t="str">
        <f t="shared" si="5"/>
        <v>1202-142194-44767</v>
      </c>
    </row>
    <row r="344" spans="1:5" ht="14.25" customHeight="1">
      <c r="A344" s="13">
        <v>1202</v>
      </c>
      <c r="B344" s="13">
        <v>142194</v>
      </c>
      <c r="C344" s="14">
        <v>44774</v>
      </c>
      <c r="D344" s="15">
        <v>20</v>
      </c>
      <c r="E344" t="str">
        <f t="shared" si="5"/>
        <v>1202-142194-44774</v>
      </c>
    </row>
    <row r="345" spans="1:5" ht="14.25" customHeight="1">
      <c r="A345" s="13">
        <v>1202</v>
      </c>
      <c r="B345" s="13">
        <v>142194</v>
      </c>
      <c r="C345" s="14">
        <v>44781</v>
      </c>
      <c r="D345" s="15">
        <v>15</v>
      </c>
      <c r="E345" t="str">
        <f t="shared" si="5"/>
        <v>1202-142194-44781</v>
      </c>
    </row>
    <row r="346" spans="1:5" ht="14.25" customHeight="1">
      <c r="A346" s="13">
        <v>1202</v>
      </c>
      <c r="B346" s="13">
        <v>142194</v>
      </c>
      <c r="C346" s="14">
        <v>44788</v>
      </c>
      <c r="D346" s="15">
        <v>21</v>
      </c>
      <c r="E346" t="str">
        <f t="shared" si="5"/>
        <v>1202-142194-44788</v>
      </c>
    </row>
    <row r="347" spans="1:5" ht="14.25" customHeight="1">
      <c r="A347" s="13">
        <v>1202</v>
      </c>
      <c r="B347" s="13">
        <v>149729</v>
      </c>
      <c r="C347" s="14">
        <v>44739</v>
      </c>
      <c r="D347" s="15">
        <v>34</v>
      </c>
      <c r="E347" t="str">
        <f t="shared" si="5"/>
        <v>1202-149729-44739</v>
      </c>
    </row>
    <row r="348" spans="1:5" ht="14.25" customHeight="1">
      <c r="A348" s="13">
        <v>1202</v>
      </c>
      <c r="B348" s="13">
        <v>149729</v>
      </c>
      <c r="C348" s="14">
        <v>44746</v>
      </c>
      <c r="D348" s="15">
        <v>51</v>
      </c>
      <c r="E348" t="str">
        <f t="shared" si="5"/>
        <v>1202-149729-44746</v>
      </c>
    </row>
    <row r="349" spans="1:5" ht="14.25" customHeight="1">
      <c r="A349" s="13">
        <v>1202</v>
      </c>
      <c r="B349" s="13">
        <v>149729</v>
      </c>
      <c r="C349" s="14">
        <v>44753</v>
      </c>
      <c r="D349" s="15">
        <v>48</v>
      </c>
      <c r="E349" t="str">
        <f t="shared" si="5"/>
        <v>1202-149729-44753</v>
      </c>
    </row>
    <row r="350" spans="1:5" ht="14.25" customHeight="1">
      <c r="A350" s="13">
        <v>1202</v>
      </c>
      <c r="B350" s="13">
        <v>149729</v>
      </c>
      <c r="C350" s="14">
        <v>44760</v>
      </c>
      <c r="D350" s="15">
        <v>54</v>
      </c>
      <c r="E350" t="str">
        <f t="shared" si="5"/>
        <v>1202-149729-44760</v>
      </c>
    </row>
    <row r="351" spans="1:5" ht="14.25" customHeight="1">
      <c r="A351" s="13">
        <v>1202</v>
      </c>
      <c r="B351" s="13">
        <v>149729</v>
      </c>
      <c r="C351" s="14">
        <v>44767</v>
      </c>
      <c r="D351" s="15">
        <v>48</v>
      </c>
      <c r="E351" t="str">
        <f t="shared" si="5"/>
        <v>1202-149729-44767</v>
      </c>
    </row>
    <row r="352" spans="1:5" ht="14.25" customHeight="1">
      <c r="A352" s="13">
        <v>1202</v>
      </c>
      <c r="B352" s="13">
        <v>149729</v>
      </c>
      <c r="C352" s="14">
        <v>44774</v>
      </c>
      <c r="D352" s="15">
        <v>50</v>
      </c>
      <c r="E352" t="str">
        <f t="shared" si="5"/>
        <v>1202-149729-44774</v>
      </c>
    </row>
    <row r="353" spans="1:5" ht="14.25" customHeight="1">
      <c r="A353" s="13">
        <v>1202</v>
      </c>
      <c r="B353" s="13">
        <v>149729</v>
      </c>
      <c r="C353" s="14">
        <v>44781</v>
      </c>
      <c r="D353" s="15">
        <v>56</v>
      </c>
      <c r="E353" t="str">
        <f t="shared" si="5"/>
        <v>1202-149729-44781</v>
      </c>
    </row>
    <row r="354" spans="1:5" ht="14.25" customHeight="1">
      <c r="A354" s="13">
        <v>1202</v>
      </c>
      <c r="B354" s="13">
        <v>149729</v>
      </c>
      <c r="C354" s="14">
        <v>44788</v>
      </c>
      <c r="D354" s="15">
        <v>59</v>
      </c>
      <c r="E354" t="str">
        <f t="shared" si="5"/>
        <v>1202-149729-44788</v>
      </c>
    </row>
    <row r="355" spans="1:5" ht="14.25" customHeight="1">
      <c r="A355" s="13">
        <v>1202</v>
      </c>
      <c r="B355" s="13">
        <v>149779</v>
      </c>
      <c r="C355" s="14">
        <v>44739</v>
      </c>
      <c r="D355" s="15">
        <v>260</v>
      </c>
      <c r="E355" t="str">
        <f t="shared" si="5"/>
        <v>1202-149779-44739</v>
      </c>
    </row>
    <row r="356" spans="1:5" ht="14.25" customHeight="1">
      <c r="A356" s="13">
        <v>1202</v>
      </c>
      <c r="B356" s="13">
        <v>149779</v>
      </c>
      <c r="C356" s="14">
        <v>44746</v>
      </c>
      <c r="D356" s="15">
        <v>81</v>
      </c>
      <c r="E356" t="str">
        <f t="shared" si="5"/>
        <v>1202-149779-44746</v>
      </c>
    </row>
    <row r="357" spans="1:5" ht="14.25" customHeight="1">
      <c r="A357" s="13">
        <v>1202</v>
      </c>
      <c r="B357" s="13">
        <v>149779</v>
      </c>
      <c r="C357" s="14">
        <v>44753</v>
      </c>
      <c r="D357" s="15">
        <v>108</v>
      </c>
      <c r="E357" t="str">
        <f t="shared" si="5"/>
        <v>1202-149779-44753</v>
      </c>
    </row>
    <row r="358" spans="1:5" ht="14.25" customHeight="1">
      <c r="A358" s="13">
        <v>1202</v>
      </c>
      <c r="B358" s="13">
        <v>149779</v>
      </c>
      <c r="C358" s="14">
        <v>44760</v>
      </c>
      <c r="D358" s="15">
        <v>234</v>
      </c>
      <c r="E358" t="str">
        <f t="shared" si="5"/>
        <v>1202-149779-44760</v>
      </c>
    </row>
    <row r="359" spans="1:5" ht="14.25" customHeight="1">
      <c r="A359" s="13">
        <v>1202</v>
      </c>
      <c r="B359" s="13">
        <v>149779</v>
      </c>
      <c r="C359" s="14">
        <v>44767</v>
      </c>
      <c r="D359" s="15">
        <v>86</v>
      </c>
      <c r="E359" t="str">
        <f t="shared" si="5"/>
        <v>1202-149779-44767</v>
      </c>
    </row>
    <row r="360" spans="1:5" ht="14.25" customHeight="1">
      <c r="A360" s="13">
        <v>1202</v>
      </c>
      <c r="B360" s="13">
        <v>149779</v>
      </c>
      <c r="C360" s="14">
        <v>44774</v>
      </c>
      <c r="D360" s="15">
        <v>176</v>
      </c>
      <c r="E360" t="str">
        <f t="shared" si="5"/>
        <v>1202-149779-44774</v>
      </c>
    </row>
    <row r="361" spans="1:5" ht="14.25" customHeight="1">
      <c r="A361" s="13">
        <v>1202</v>
      </c>
      <c r="B361" s="13">
        <v>149779</v>
      </c>
      <c r="C361" s="14">
        <v>44781</v>
      </c>
      <c r="D361" s="15">
        <v>188</v>
      </c>
      <c r="E361" t="str">
        <f t="shared" si="5"/>
        <v>1202-149779-44781</v>
      </c>
    </row>
    <row r="362" spans="1:5" ht="14.25" customHeight="1">
      <c r="A362" s="13">
        <v>1202</v>
      </c>
      <c r="B362" s="13">
        <v>149779</v>
      </c>
      <c r="C362" s="14">
        <v>44788</v>
      </c>
      <c r="D362" s="15">
        <v>203</v>
      </c>
      <c r="E362" t="str">
        <f t="shared" si="5"/>
        <v>1202-149779-44788</v>
      </c>
    </row>
    <row r="363" spans="1:5" ht="14.25" customHeight="1">
      <c r="A363" s="13">
        <v>1202</v>
      </c>
      <c r="B363" s="13">
        <v>189933</v>
      </c>
      <c r="C363" s="14">
        <v>44739</v>
      </c>
      <c r="D363" s="15">
        <v>82</v>
      </c>
      <c r="E363" t="str">
        <f t="shared" si="5"/>
        <v>1202-189933-44739</v>
      </c>
    </row>
    <row r="364" spans="1:5" ht="14.25" customHeight="1">
      <c r="A364" s="13">
        <v>1202</v>
      </c>
      <c r="B364" s="13">
        <v>189933</v>
      </c>
      <c r="C364" s="14">
        <v>44746</v>
      </c>
      <c r="D364" s="15">
        <v>69</v>
      </c>
      <c r="E364" t="str">
        <f t="shared" si="5"/>
        <v>1202-189933-44746</v>
      </c>
    </row>
    <row r="365" spans="1:5" ht="14.25" customHeight="1">
      <c r="A365" s="13">
        <v>1202</v>
      </c>
      <c r="B365" s="13">
        <v>189933</v>
      </c>
      <c r="C365" s="14">
        <v>44753</v>
      </c>
      <c r="D365" s="15">
        <v>113</v>
      </c>
      <c r="E365" t="str">
        <f t="shared" si="5"/>
        <v>1202-189933-44753</v>
      </c>
    </row>
    <row r="366" spans="1:5" ht="14.25" customHeight="1">
      <c r="A366" s="13">
        <v>1202</v>
      </c>
      <c r="B366" s="13">
        <v>189933</v>
      </c>
      <c r="C366" s="14">
        <v>44760</v>
      </c>
      <c r="D366" s="15">
        <v>26</v>
      </c>
      <c r="E366" t="str">
        <f t="shared" si="5"/>
        <v>1202-189933-44760</v>
      </c>
    </row>
    <row r="367" spans="1:5" ht="14.25" customHeight="1">
      <c r="A367" s="13">
        <v>1202</v>
      </c>
      <c r="B367" s="13">
        <v>189933</v>
      </c>
      <c r="C367" s="14">
        <v>44767</v>
      </c>
      <c r="D367" s="15">
        <v>79</v>
      </c>
      <c r="E367" t="str">
        <f t="shared" si="5"/>
        <v>1202-189933-44767</v>
      </c>
    </row>
    <row r="368" spans="1:5" ht="14.25" customHeight="1">
      <c r="A368" s="13">
        <v>1202</v>
      </c>
      <c r="B368" s="13">
        <v>189933</v>
      </c>
      <c r="C368" s="14">
        <v>44774</v>
      </c>
      <c r="D368" s="15">
        <v>79</v>
      </c>
      <c r="E368" t="str">
        <f t="shared" si="5"/>
        <v>1202-189933-44774</v>
      </c>
    </row>
    <row r="369" spans="1:5" ht="14.25" customHeight="1">
      <c r="A369" s="13">
        <v>1202</v>
      </c>
      <c r="B369" s="13">
        <v>189933</v>
      </c>
      <c r="C369" s="14">
        <v>44781</v>
      </c>
      <c r="D369" s="15">
        <v>71</v>
      </c>
      <c r="E369" t="str">
        <f t="shared" si="5"/>
        <v>1202-189933-44781</v>
      </c>
    </row>
    <row r="370" spans="1:5" ht="14.25" customHeight="1">
      <c r="A370" s="13">
        <v>1202</v>
      </c>
      <c r="B370" s="13">
        <v>189933</v>
      </c>
      <c r="C370" s="14">
        <v>44788</v>
      </c>
      <c r="D370" s="15">
        <v>95</v>
      </c>
      <c r="E370" t="str">
        <f t="shared" si="5"/>
        <v>1202-189933-44788</v>
      </c>
    </row>
    <row r="371" spans="1:5" ht="14.25" customHeight="1">
      <c r="A371" s="13">
        <v>1202</v>
      </c>
      <c r="B371" s="13">
        <v>202577</v>
      </c>
      <c r="C371" s="14">
        <v>44739</v>
      </c>
      <c r="D371" s="15">
        <v>12</v>
      </c>
      <c r="E371" t="str">
        <f t="shared" si="5"/>
        <v>1202-202577-44739</v>
      </c>
    </row>
    <row r="372" spans="1:5" ht="14.25" customHeight="1">
      <c r="A372" s="13">
        <v>1202</v>
      </c>
      <c r="B372" s="13">
        <v>202577</v>
      </c>
      <c r="C372" s="14">
        <v>44746</v>
      </c>
      <c r="D372" s="15">
        <v>12</v>
      </c>
      <c r="E372" t="str">
        <f t="shared" si="5"/>
        <v>1202-202577-44746</v>
      </c>
    </row>
    <row r="373" spans="1:5" ht="14.25" customHeight="1">
      <c r="A373" s="13">
        <v>1202</v>
      </c>
      <c r="B373" s="13">
        <v>202577</v>
      </c>
      <c r="C373" s="14">
        <v>44753</v>
      </c>
      <c r="D373" s="15">
        <v>12</v>
      </c>
      <c r="E373" t="str">
        <f t="shared" si="5"/>
        <v>1202-202577-44753</v>
      </c>
    </row>
    <row r="374" spans="1:5" ht="14.25" customHeight="1">
      <c r="A374" s="13">
        <v>1202</v>
      </c>
      <c r="B374" s="13">
        <v>202577</v>
      </c>
      <c r="C374" s="14">
        <v>44760</v>
      </c>
      <c r="D374" s="15">
        <v>12</v>
      </c>
      <c r="E374" t="str">
        <f t="shared" si="5"/>
        <v>1202-202577-44760</v>
      </c>
    </row>
    <row r="375" spans="1:5" ht="14.25" customHeight="1">
      <c r="A375" s="13">
        <v>1202</v>
      </c>
      <c r="B375" s="13">
        <v>202577</v>
      </c>
      <c r="C375" s="14">
        <v>44767</v>
      </c>
      <c r="D375" s="15">
        <v>12</v>
      </c>
      <c r="E375" t="str">
        <f t="shared" si="5"/>
        <v>1202-202577-44767</v>
      </c>
    </row>
    <row r="376" spans="1:5" ht="14.25" customHeight="1">
      <c r="A376" s="13">
        <v>1202</v>
      </c>
      <c r="B376" s="13">
        <v>202577</v>
      </c>
      <c r="C376" s="14">
        <v>44774</v>
      </c>
      <c r="D376" s="15">
        <v>12</v>
      </c>
      <c r="E376" t="str">
        <f t="shared" si="5"/>
        <v>1202-202577-44774</v>
      </c>
    </row>
    <row r="377" spans="1:5" ht="14.25" customHeight="1">
      <c r="A377" s="13">
        <v>1202</v>
      </c>
      <c r="B377" s="13">
        <v>202577</v>
      </c>
      <c r="C377" s="14">
        <v>44781</v>
      </c>
      <c r="D377" s="15">
        <v>12</v>
      </c>
      <c r="E377" t="str">
        <f t="shared" si="5"/>
        <v>1202-202577-44781</v>
      </c>
    </row>
    <row r="378" spans="1:5" ht="14.25" customHeight="1">
      <c r="A378" s="13">
        <v>1202</v>
      </c>
      <c r="B378" s="13">
        <v>202577</v>
      </c>
      <c r="C378" s="14">
        <v>44788</v>
      </c>
      <c r="D378" s="15">
        <v>12</v>
      </c>
      <c r="E378" t="str">
        <f t="shared" si="5"/>
        <v>1202-202577-44788</v>
      </c>
    </row>
    <row r="379" spans="1:5" ht="14.25" customHeight="1">
      <c r="A379" s="13">
        <v>1202</v>
      </c>
      <c r="B379" s="13">
        <v>234334</v>
      </c>
      <c r="C379" s="14">
        <v>44739</v>
      </c>
      <c r="D379" s="15">
        <v>78</v>
      </c>
      <c r="E379" t="str">
        <f t="shared" si="5"/>
        <v>1202-234334-44739</v>
      </c>
    </row>
    <row r="380" spans="1:5" ht="14.25" customHeight="1">
      <c r="A380" s="13">
        <v>1202</v>
      </c>
      <c r="B380" s="13">
        <v>234334</v>
      </c>
      <c r="C380" s="14">
        <v>44746</v>
      </c>
      <c r="D380" s="15">
        <v>81</v>
      </c>
      <c r="E380" t="str">
        <f t="shared" si="5"/>
        <v>1202-234334-44746</v>
      </c>
    </row>
    <row r="381" spans="1:5" ht="14.25" customHeight="1">
      <c r="A381" s="16">
        <v>1202</v>
      </c>
      <c r="B381" s="13">
        <v>234334</v>
      </c>
      <c r="C381" s="14">
        <v>44753</v>
      </c>
      <c r="D381" s="15">
        <v>26</v>
      </c>
      <c r="E381" t="str">
        <f t="shared" si="5"/>
        <v>1202-234334-44753</v>
      </c>
    </row>
    <row r="382" spans="1:5" ht="14.25" customHeight="1">
      <c r="A382" s="13">
        <v>1202</v>
      </c>
      <c r="B382" s="13">
        <v>234334</v>
      </c>
      <c r="C382" s="14">
        <v>44760</v>
      </c>
      <c r="D382" s="15">
        <v>95</v>
      </c>
      <c r="E382" t="str">
        <f t="shared" si="5"/>
        <v>1202-234334-44760</v>
      </c>
    </row>
    <row r="383" spans="1:5" ht="14.25" customHeight="1">
      <c r="A383" s="13">
        <v>1202</v>
      </c>
      <c r="B383" s="13">
        <v>234334</v>
      </c>
      <c r="C383" s="14">
        <v>44767</v>
      </c>
      <c r="D383" s="15">
        <v>100</v>
      </c>
      <c r="E383" t="str">
        <f t="shared" si="5"/>
        <v>1202-234334-44767</v>
      </c>
    </row>
    <row r="384" spans="1:5" ht="14.25" customHeight="1">
      <c r="A384" s="13">
        <v>1202</v>
      </c>
      <c r="B384" s="13">
        <v>234334</v>
      </c>
      <c r="C384" s="14">
        <v>44774</v>
      </c>
      <c r="D384" s="15">
        <v>92</v>
      </c>
      <c r="E384" t="str">
        <f t="shared" si="5"/>
        <v>1202-234334-44774</v>
      </c>
    </row>
    <row r="385" spans="1:5" ht="14.25" customHeight="1">
      <c r="A385" s="13">
        <v>1202</v>
      </c>
      <c r="B385" s="13">
        <v>234334</v>
      </c>
      <c r="C385" s="14">
        <v>44781</v>
      </c>
      <c r="D385" s="15">
        <v>22</v>
      </c>
      <c r="E385" t="str">
        <f t="shared" si="5"/>
        <v>1202-234334-44781</v>
      </c>
    </row>
    <row r="386" spans="1:5" ht="14.25" customHeight="1">
      <c r="A386" s="13">
        <v>1202</v>
      </c>
      <c r="B386" s="13">
        <v>234334</v>
      </c>
      <c r="C386" s="14">
        <v>44788</v>
      </c>
      <c r="D386" s="15">
        <v>26</v>
      </c>
      <c r="E386" t="str">
        <f t="shared" si="5"/>
        <v>1202-234334-44788</v>
      </c>
    </row>
    <row r="387" spans="1:5" ht="14.25" customHeight="1">
      <c r="A387" s="13">
        <v>1202</v>
      </c>
      <c r="B387" s="13">
        <v>249444</v>
      </c>
      <c r="C387" s="14">
        <v>44739</v>
      </c>
      <c r="D387" s="15">
        <v>68</v>
      </c>
      <c r="E387" t="str">
        <f t="shared" ref="E387:E450" si="6">A387&amp;"-"&amp;B387&amp;"-"&amp;INT(C387)</f>
        <v>1202-249444-44739</v>
      </c>
    </row>
    <row r="388" spans="1:5" ht="14.25" customHeight="1">
      <c r="A388" s="13">
        <v>1202</v>
      </c>
      <c r="B388" s="13">
        <v>249444</v>
      </c>
      <c r="C388" s="14">
        <v>44746</v>
      </c>
      <c r="D388" s="15">
        <v>62</v>
      </c>
      <c r="E388" t="str">
        <f t="shared" si="6"/>
        <v>1202-249444-44746</v>
      </c>
    </row>
    <row r="389" spans="1:5" ht="14.25" customHeight="1">
      <c r="A389" s="13">
        <v>1202</v>
      </c>
      <c r="B389" s="13">
        <v>249444</v>
      </c>
      <c r="C389" s="14">
        <v>44753</v>
      </c>
      <c r="D389" s="15">
        <v>84</v>
      </c>
      <c r="E389" t="str">
        <f t="shared" si="6"/>
        <v>1202-249444-44753</v>
      </c>
    </row>
    <row r="390" spans="1:5" ht="14.25" customHeight="1">
      <c r="A390" s="13">
        <v>1202</v>
      </c>
      <c r="B390" s="13">
        <v>249444</v>
      </c>
      <c r="C390" s="14">
        <v>44760</v>
      </c>
      <c r="D390" s="15">
        <v>32</v>
      </c>
      <c r="E390" t="str">
        <f t="shared" si="6"/>
        <v>1202-249444-44760</v>
      </c>
    </row>
    <row r="391" spans="1:5" ht="14.25" customHeight="1">
      <c r="A391" s="13">
        <v>1202</v>
      </c>
      <c r="B391" s="13">
        <v>249444</v>
      </c>
      <c r="C391" s="14">
        <v>44767</v>
      </c>
      <c r="D391" s="15">
        <v>36</v>
      </c>
      <c r="E391" t="str">
        <f t="shared" si="6"/>
        <v>1202-249444-44767</v>
      </c>
    </row>
    <row r="392" spans="1:5" ht="14.25" customHeight="1">
      <c r="A392" s="13">
        <v>1202</v>
      </c>
      <c r="B392" s="13">
        <v>249444</v>
      </c>
      <c r="C392" s="14">
        <v>44774</v>
      </c>
      <c r="D392" s="15">
        <v>84</v>
      </c>
      <c r="E392" t="str">
        <f t="shared" si="6"/>
        <v>1202-249444-44774</v>
      </c>
    </row>
    <row r="393" spans="1:5" ht="14.25" customHeight="1">
      <c r="A393" s="13">
        <v>1202</v>
      </c>
      <c r="B393" s="13">
        <v>249444</v>
      </c>
      <c r="C393" s="14">
        <v>44781</v>
      </c>
      <c r="D393" s="15">
        <v>56</v>
      </c>
      <c r="E393" t="str">
        <f t="shared" si="6"/>
        <v>1202-249444-44781</v>
      </c>
    </row>
    <row r="394" spans="1:5" ht="14.25" customHeight="1">
      <c r="A394" s="13">
        <v>1202</v>
      </c>
      <c r="B394" s="13">
        <v>249444</v>
      </c>
      <c r="C394" s="14">
        <v>44788</v>
      </c>
      <c r="D394" s="15">
        <v>84</v>
      </c>
      <c r="E394" t="str">
        <f t="shared" si="6"/>
        <v>1202-249444-44788</v>
      </c>
    </row>
    <row r="395" spans="1:5" ht="14.25" customHeight="1">
      <c r="A395" s="13">
        <v>1202</v>
      </c>
      <c r="B395" s="13">
        <v>249795</v>
      </c>
      <c r="C395" s="14">
        <v>44739</v>
      </c>
      <c r="D395" s="15">
        <v>21</v>
      </c>
      <c r="E395" t="str">
        <f t="shared" si="6"/>
        <v>1202-249795-44739</v>
      </c>
    </row>
    <row r="396" spans="1:5" ht="14.25" customHeight="1">
      <c r="A396" s="13">
        <v>1202</v>
      </c>
      <c r="B396" s="13">
        <v>249795</v>
      </c>
      <c r="C396" s="14">
        <v>44746</v>
      </c>
      <c r="D396" s="15">
        <v>36</v>
      </c>
      <c r="E396" t="str">
        <f t="shared" si="6"/>
        <v>1202-249795-44746</v>
      </c>
    </row>
    <row r="397" spans="1:5" ht="14.25" customHeight="1">
      <c r="A397" s="13">
        <v>1202</v>
      </c>
      <c r="B397" s="13">
        <v>249795</v>
      </c>
      <c r="C397" s="14">
        <v>44753</v>
      </c>
      <c r="D397" s="15">
        <v>54</v>
      </c>
      <c r="E397" t="str">
        <f t="shared" si="6"/>
        <v>1202-249795-44753</v>
      </c>
    </row>
    <row r="398" spans="1:5" ht="14.25" customHeight="1">
      <c r="A398" s="13">
        <v>1202</v>
      </c>
      <c r="B398" s="13">
        <v>249795</v>
      </c>
      <c r="C398" s="14">
        <v>44760</v>
      </c>
      <c r="D398" s="15">
        <v>15</v>
      </c>
      <c r="E398" t="str">
        <f t="shared" si="6"/>
        <v>1202-249795-44760</v>
      </c>
    </row>
    <row r="399" spans="1:5" ht="14.25" customHeight="1">
      <c r="A399" s="13">
        <v>1202</v>
      </c>
      <c r="B399" s="13">
        <v>249795</v>
      </c>
      <c r="C399" s="14">
        <v>44767</v>
      </c>
      <c r="D399" s="15">
        <v>12</v>
      </c>
      <c r="E399" t="str">
        <f t="shared" si="6"/>
        <v>1202-249795-44767</v>
      </c>
    </row>
    <row r="400" spans="1:5" ht="14.25" customHeight="1">
      <c r="A400" s="13">
        <v>1202</v>
      </c>
      <c r="B400" s="13">
        <v>249795</v>
      </c>
      <c r="C400" s="14">
        <v>44774</v>
      </c>
      <c r="D400" s="15">
        <v>46</v>
      </c>
      <c r="E400" t="str">
        <f t="shared" si="6"/>
        <v>1202-249795-44774</v>
      </c>
    </row>
    <row r="401" spans="1:5" ht="14.25" customHeight="1">
      <c r="A401" s="13">
        <v>1202</v>
      </c>
      <c r="B401" s="13">
        <v>249795</v>
      </c>
      <c r="C401" s="14">
        <v>44781</v>
      </c>
      <c r="D401" s="15">
        <v>10</v>
      </c>
      <c r="E401" t="str">
        <f t="shared" si="6"/>
        <v>1202-249795-44781</v>
      </c>
    </row>
    <row r="402" spans="1:5" ht="14.25" customHeight="1">
      <c r="A402" s="13">
        <v>1202</v>
      </c>
      <c r="B402" s="13">
        <v>249795</v>
      </c>
      <c r="C402" s="14">
        <v>44788</v>
      </c>
      <c r="D402" s="15">
        <v>11</v>
      </c>
      <c r="E402" t="str">
        <f t="shared" si="6"/>
        <v>1202-249795-44788</v>
      </c>
    </row>
    <row r="403" spans="1:5" ht="14.25" customHeight="1">
      <c r="A403" s="13">
        <v>1202</v>
      </c>
      <c r="B403" s="13">
        <v>250979</v>
      </c>
      <c r="C403" s="14">
        <v>44739</v>
      </c>
      <c r="D403" s="15">
        <v>24</v>
      </c>
      <c r="E403" t="str">
        <f t="shared" si="6"/>
        <v>1202-250979-44739</v>
      </c>
    </row>
    <row r="404" spans="1:5" ht="14.25" customHeight="1">
      <c r="A404" s="13">
        <v>1202</v>
      </c>
      <c r="B404" s="13">
        <v>250979</v>
      </c>
      <c r="C404" s="14">
        <v>44746</v>
      </c>
      <c r="D404" s="15">
        <v>14</v>
      </c>
      <c r="E404" t="str">
        <f t="shared" si="6"/>
        <v>1202-250979-44746</v>
      </c>
    </row>
    <row r="405" spans="1:5" ht="14.25" customHeight="1">
      <c r="A405" s="13">
        <v>1202</v>
      </c>
      <c r="B405" s="13">
        <v>250979</v>
      </c>
      <c r="C405" s="14">
        <v>44753</v>
      </c>
      <c r="D405" s="15">
        <v>59</v>
      </c>
      <c r="E405" t="str">
        <f t="shared" si="6"/>
        <v>1202-250979-44753</v>
      </c>
    </row>
    <row r="406" spans="1:5" ht="14.25" customHeight="1">
      <c r="A406" s="13">
        <v>1202</v>
      </c>
      <c r="B406" s="13">
        <v>250979</v>
      </c>
      <c r="C406" s="14">
        <v>44760</v>
      </c>
      <c r="D406" s="15">
        <v>15</v>
      </c>
      <c r="E406" t="str">
        <f t="shared" si="6"/>
        <v>1202-250979-44760</v>
      </c>
    </row>
    <row r="407" spans="1:5" ht="14.25" customHeight="1">
      <c r="A407" s="13">
        <v>1202</v>
      </c>
      <c r="B407" s="13">
        <v>250979</v>
      </c>
      <c r="C407" s="14">
        <v>44767</v>
      </c>
      <c r="D407" s="15">
        <v>48</v>
      </c>
      <c r="E407" t="str">
        <f t="shared" si="6"/>
        <v>1202-250979-44767</v>
      </c>
    </row>
    <row r="408" spans="1:5" ht="14.25" customHeight="1">
      <c r="A408" s="13">
        <v>1202</v>
      </c>
      <c r="B408" s="13">
        <v>250979</v>
      </c>
      <c r="C408" s="14">
        <v>44774</v>
      </c>
      <c r="D408" s="15">
        <v>18</v>
      </c>
      <c r="E408" t="str">
        <f t="shared" si="6"/>
        <v>1202-250979-44774</v>
      </c>
    </row>
    <row r="409" spans="1:5" ht="14.25" customHeight="1">
      <c r="A409" s="13">
        <v>1202</v>
      </c>
      <c r="B409" s="13">
        <v>250979</v>
      </c>
      <c r="C409" s="14">
        <v>44781</v>
      </c>
      <c r="D409" s="15">
        <v>10</v>
      </c>
      <c r="E409" t="str">
        <f t="shared" si="6"/>
        <v>1202-250979-44781</v>
      </c>
    </row>
    <row r="410" spans="1:5" ht="14.25" customHeight="1">
      <c r="A410" s="13">
        <v>1202</v>
      </c>
      <c r="B410" s="13">
        <v>250979</v>
      </c>
      <c r="C410" s="14">
        <v>44788</v>
      </c>
      <c r="D410" s="15">
        <v>30</v>
      </c>
      <c r="E410" t="str">
        <f t="shared" si="6"/>
        <v>1202-250979-44788</v>
      </c>
    </row>
    <row r="411" spans="1:5" ht="14.25" customHeight="1">
      <c r="A411" s="13">
        <v>1202</v>
      </c>
      <c r="B411" s="13">
        <v>250981</v>
      </c>
      <c r="C411" s="14">
        <v>44739</v>
      </c>
      <c r="D411" s="15">
        <v>17</v>
      </c>
      <c r="E411" t="str">
        <f t="shared" si="6"/>
        <v>1202-250981-44739</v>
      </c>
    </row>
    <row r="412" spans="1:5" ht="14.25" customHeight="1">
      <c r="A412" s="13">
        <v>1202</v>
      </c>
      <c r="B412" s="13">
        <v>250981</v>
      </c>
      <c r="C412" s="14">
        <v>44746</v>
      </c>
      <c r="D412" s="15">
        <v>14</v>
      </c>
      <c r="E412" t="str">
        <f t="shared" si="6"/>
        <v>1202-250981-44746</v>
      </c>
    </row>
    <row r="413" spans="1:5" ht="14.25" customHeight="1">
      <c r="A413" s="13">
        <v>1202</v>
      </c>
      <c r="B413" s="13">
        <v>250981</v>
      </c>
      <c r="C413" s="14">
        <v>44753</v>
      </c>
      <c r="D413" s="15">
        <v>12</v>
      </c>
      <c r="E413" t="str">
        <f t="shared" si="6"/>
        <v>1202-250981-44753</v>
      </c>
    </row>
    <row r="414" spans="1:5" ht="14.25" customHeight="1">
      <c r="A414" s="13">
        <v>1202</v>
      </c>
      <c r="B414" s="13">
        <v>250981</v>
      </c>
      <c r="C414" s="14">
        <v>44760</v>
      </c>
      <c r="D414" s="15">
        <v>-1</v>
      </c>
      <c r="E414" t="str">
        <f t="shared" si="6"/>
        <v>1202-250981-44760</v>
      </c>
    </row>
    <row r="415" spans="1:5" ht="14.25" customHeight="1">
      <c r="A415" s="13">
        <v>1202</v>
      </c>
      <c r="B415" s="13">
        <v>250981</v>
      </c>
      <c r="C415" s="14">
        <v>44767</v>
      </c>
      <c r="D415" s="15">
        <v>9</v>
      </c>
      <c r="E415" t="str">
        <f t="shared" si="6"/>
        <v>1202-250981-44767</v>
      </c>
    </row>
    <row r="416" spans="1:5" ht="14.25" customHeight="1">
      <c r="A416" s="13">
        <v>1202</v>
      </c>
      <c r="B416" s="13">
        <v>250981</v>
      </c>
      <c r="C416" s="14">
        <v>44774</v>
      </c>
      <c r="D416" s="15">
        <v>15</v>
      </c>
      <c r="E416" t="str">
        <f t="shared" si="6"/>
        <v>1202-250981-44774</v>
      </c>
    </row>
    <row r="417" spans="1:5" ht="14.25" customHeight="1">
      <c r="A417" s="13">
        <v>1202</v>
      </c>
      <c r="B417" s="13">
        <v>250981</v>
      </c>
      <c r="C417" s="14">
        <v>44781</v>
      </c>
      <c r="D417" s="15">
        <v>13</v>
      </c>
      <c r="E417" t="str">
        <f t="shared" si="6"/>
        <v>1202-250981-44781</v>
      </c>
    </row>
    <row r="418" spans="1:5" ht="14.25" customHeight="1">
      <c r="A418" s="13">
        <v>1202</v>
      </c>
      <c r="B418" s="13">
        <v>250981</v>
      </c>
      <c r="C418" s="14">
        <v>44788</v>
      </c>
      <c r="D418" s="15">
        <v>10</v>
      </c>
      <c r="E418" t="str">
        <f t="shared" si="6"/>
        <v>1202-250981-44788</v>
      </c>
    </row>
    <row r="419" spans="1:5" ht="14.25" customHeight="1">
      <c r="A419" s="13">
        <v>1202</v>
      </c>
      <c r="B419" s="13">
        <v>262294</v>
      </c>
      <c r="C419" s="14">
        <v>44739</v>
      </c>
      <c r="D419" s="15">
        <v>65</v>
      </c>
      <c r="E419" t="str">
        <f t="shared" si="6"/>
        <v>1202-262294-44739</v>
      </c>
    </row>
    <row r="420" spans="1:5" ht="14.25" customHeight="1">
      <c r="A420" s="13">
        <v>1202</v>
      </c>
      <c r="B420" s="13">
        <v>262294</v>
      </c>
      <c r="C420" s="14">
        <v>44746</v>
      </c>
      <c r="D420" s="15">
        <v>54</v>
      </c>
      <c r="E420" t="str">
        <f t="shared" si="6"/>
        <v>1202-262294-44746</v>
      </c>
    </row>
    <row r="421" spans="1:5" ht="14.25" customHeight="1">
      <c r="A421" s="13">
        <v>1202</v>
      </c>
      <c r="B421" s="13">
        <v>262294</v>
      </c>
      <c r="C421" s="14">
        <v>44753</v>
      </c>
      <c r="D421" s="15">
        <v>67</v>
      </c>
      <c r="E421" t="str">
        <f t="shared" si="6"/>
        <v>1202-262294-44753</v>
      </c>
    </row>
    <row r="422" spans="1:5" ht="14.25" customHeight="1">
      <c r="A422" s="13">
        <v>1202</v>
      </c>
      <c r="B422" s="13">
        <v>262294</v>
      </c>
      <c r="C422" s="14">
        <v>44760</v>
      </c>
      <c r="D422" s="15">
        <v>45</v>
      </c>
      <c r="E422" t="str">
        <f t="shared" si="6"/>
        <v>1202-262294-44760</v>
      </c>
    </row>
    <row r="423" spans="1:5" ht="14.25" customHeight="1">
      <c r="A423" s="13">
        <v>1202</v>
      </c>
      <c r="B423" s="13">
        <v>262294</v>
      </c>
      <c r="C423" s="14">
        <v>44767</v>
      </c>
      <c r="D423" s="15">
        <v>52</v>
      </c>
      <c r="E423" t="str">
        <f t="shared" si="6"/>
        <v>1202-262294-44767</v>
      </c>
    </row>
    <row r="424" spans="1:5" ht="14.25" customHeight="1">
      <c r="A424" s="13">
        <v>1202</v>
      </c>
      <c r="B424" s="13">
        <v>262294</v>
      </c>
      <c r="C424" s="14">
        <v>44774</v>
      </c>
      <c r="D424" s="15">
        <v>42</v>
      </c>
      <c r="E424" t="str">
        <f t="shared" si="6"/>
        <v>1202-262294-44774</v>
      </c>
    </row>
    <row r="425" spans="1:5" ht="14.25" customHeight="1">
      <c r="A425" s="13">
        <v>1202</v>
      </c>
      <c r="B425" s="13">
        <v>262294</v>
      </c>
      <c r="C425" s="14">
        <v>44781</v>
      </c>
      <c r="D425" s="15">
        <v>14</v>
      </c>
      <c r="E425" t="str">
        <f t="shared" si="6"/>
        <v>1202-262294-44781</v>
      </c>
    </row>
    <row r="426" spans="1:5" ht="14.25" customHeight="1">
      <c r="A426" s="13">
        <v>1202</v>
      </c>
      <c r="B426" s="13">
        <v>262294</v>
      </c>
      <c r="C426" s="14">
        <v>44788</v>
      </c>
      <c r="D426" s="15">
        <v>9</v>
      </c>
      <c r="E426" t="str">
        <f t="shared" si="6"/>
        <v>1202-262294-44788</v>
      </c>
    </row>
    <row r="427" spans="1:5" ht="14.25" customHeight="1">
      <c r="A427" s="13">
        <v>1202</v>
      </c>
      <c r="B427" s="13">
        <v>268831</v>
      </c>
      <c r="C427" s="14">
        <v>44739</v>
      </c>
      <c r="D427" s="15">
        <v>96</v>
      </c>
      <c r="E427" t="str">
        <f t="shared" si="6"/>
        <v>1202-268831-44739</v>
      </c>
    </row>
    <row r="428" spans="1:5" ht="14.25" customHeight="1">
      <c r="A428" s="13">
        <v>1202</v>
      </c>
      <c r="B428" s="13">
        <v>268831</v>
      </c>
      <c r="C428" s="14">
        <v>44746</v>
      </c>
      <c r="D428" s="15">
        <v>91</v>
      </c>
      <c r="E428" t="str">
        <f t="shared" si="6"/>
        <v>1202-268831-44746</v>
      </c>
    </row>
    <row r="429" spans="1:5" ht="14.25" customHeight="1">
      <c r="A429" s="13">
        <v>1202</v>
      </c>
      <c r="B429" s="13">
        <v>268831</v>
      </c>
      <c r="C429" s="14">
        <v>44753</v>
      </c>
      <c r="D429" s="15">
        <v>72</v>
      </c>
      <c r="E429" t="str">
        <f t="shared" si="6"/>
        <v>1202-268831-44753</v>
      </c>
    </row>
    <row r="430" spans="1:5" ht="14.25" customHeight="1">
      <c r="A430" s="13">
        <v>1202</v>
      </c>
      <c r="B430" s="13">
        <v>268831</v>
      </c>
      <c r="C430" s="14">
        <v>44760</v>
      </c>
      <c r="D430" s="15">
        <v>91</v>
      </c>
      <c r="E430" t="str">
        <f t="shared" si="6"/>
        <v>1202-268831-44760</v>
      </c>
    </row>
    <row r="431" spans="1:5" ht="14.25" customHeight="1">
      <c r="A431" s="13">
        <v>1202</v>
      </c>
      <c r="B431" s="13">
        <v>268831</v>
      </c>
      <c r="C431" s="14">
        <v>44767</v>
      </c>
      <c r="D431" s="15">
        <v>77</v>
      </c>
      <c r="E431" t="str">
        <f t="shared" si="6"/>
        <v>1202-268831-44767</v>
      </c>
    </row>
    <row r="432" spans="1:5" ht="14.25" customHeight="1">
      <c r="A432" s="13">
        <v>1202</v>
      </c>
      <c r="B432" s="13">
        <v>268831</v>
      </c>
      <c r="C432" s="14">
        <v>44774</v>
      </c>
      <c r="D432" s="15">
        <v>39</v>
      </c>
      <c r="E432" t="str">
        <f t="shared" si="6"/>
        <v>1202-268831-44774</v>
      </c>
    </row>
    <row r="433" spans="1:5" ht="14.25" customHeight="1">
      <c r="A433" s="13">
        <v>1202</v>
      </c>
      <c r="B433" s="13">
        <v>268831</v>
      </c>
      <c r="C433" s="14">
        <v>44781</v>
      </c>
      <c r="D433" s="15">
        <v>27</v>
      </c>
      <c r="E433" t="str">
        <f t="shared" si="6"/>
        <v>1202-268831-44781</v>
      </c>
    </row>
    <row r="434" spans="1:5" ht="14.25" customHeight="1">
      <c r="A434" s="13">
        <v>1202</v>
      </c>
      <c r="B434" s="13">
        <v>268831</v>
      </c>
      <c r="C434" s="14">
        <v>44788</v>
      </c>
      <c r="D434" s="15">
        <v>27</v>
      </c>
      <c r="E434" t="str">
        <f t="shared" si="6"/>
        <v>1202-268831-44788</v>
      </c>
    </row>
    <row r="435" spans="1:5" ht="14.25" customHeight="1">
      <c r="A435" s="13">
        <v>1202</v>
      </c>
      <c r="B435" s="13">
        <v>273701</v>
      </c>
      <c r="C435" s="14">
        <v>44739</v>
      </c>
      <c r="D435" s="15">
        <v>42</v>
      </c>
      <c r="E435" t="str">
        <f t="shared" si="6"/>
        <v>1202-273701-44739</v>
      </c>
    </row>
    <row r="436" spans="1:5" ht="14.25" customHeight="1">
      <c r="A436" s="13">
        <v>1202</v>
      </c>
      <c r="B436" s="13">
        <v>273701</v>
      </c>
      <c r="C436" s="14">
        <v>44746</v>
      </c>
      <c r="D436" s="15">
        <v>26</v>
      </c>
      <c r="E436" t="str">
        <f t="shared" si="6"/>
        <v>1202-273701-44746</v>
      </c>
    </row>
    <row r="437" spans="1:5" ht="14.25" customHeight="1">
      <c r="A437" s="13">
        <v>1202</v>
      </c>
      <c r="B437" s="13">
        <v>273701</v>
      </c>
      <c r="C437" s="14">
        <v>44753</v>
      </c>
      <c r="D437" s="15">
        <v>43</v>
      </c>
      <c r="E437" t="str">
        <f t="shared" si="6"/>
        <v>1202-273701-44753</v>
      </c>
    </row>
    <row r="438" spans="1:5" ht="14.25" customHeight="1">
      <c r="A438" s="13">
        <v>1202</v>
      </c>
      <c r="B438" s="13">
        <v>273701</v>
      </c>
      <c r="C438" s="14">
        <v>44760</v>
      </c>
      <c r="D438" s="15">
        <v>19</v>
      </c>
      <c r="E438" t="str">
        <f t="shared" si="6"/>
        <v>1202-273701-44760</v>
      </c>
    </row>
    <row r="439" spans="1:5" ht="14.25" customHeight="1">
      <c r="A439" s="13">
        <v>1202</v>
      </c>
      <c r="B439" s="13">
        <v>273701</v>
      </c>
      <c r="C439" s="14">
        <v>44767</v>
      </c>
      <c r="D439" s="15">
        <v>37</v>
      </c>
      <c r="E439" t="str">
        <f t="shared" si="6"/>
        <v>1202-273701-44767</v>
      </c>
    </row>
    <row r="440" spans="1:5" ht="14.25" customHeight="1">
      <c r="A440" s="13">
        <v>1202</v>
      </c>
      <c r="B440" s="13">
        <v>273701</v>
      </c>
      <c r="C440" s="14">
        <v>44774</v>
      </c>
      <c r="D440" s="15">
        <v>34</v>
      </c>
      <c r="E440" t="str">
        <f t="shared" si="6"/>
        <v>1202-273701-44774</v>
      </c>
    </row>
    <row r="441" spans="1:5" ht="14.25" customHeight="1">
      <c r="A441" s="13">
        <v>1202</v>
      </c>
      <c r="B441" s="13">
        <v>273701</v>
      </c>
      <c r="C441" s="14">
        <v>44781</v>
      </c>
      <c r="D441" s="15">
        <v>44</v>
      </c>
      <c r="E441" t="str">
        <f t="shared" si="6"/>
        <v>1202-273701-44781</v>
      </c>
    </row>
    <row r="442" spans="1:5" ht="14.25" customHeight="1">
      <c r="A442" s="13">
        <v>1202</v>
      </c>
      <c r="B442" s="13">
        <v>273701</v>
      </c>
      <c r="C442" s="14">
        <v>44788</v>
      </c>
      <c r="D442" s="15">
        <v>41</v>
      </c>
      <c r="E442" t="str">
        <f t="shared" si="6"/>
        <v>1202-273701-44788</v>
      </c>
    </row>
    <row r="443" spans="1:5" ht="14.25" customHeight="1">
      <c r="A443" s="13">
        <v>1202</v>
      </c>
      <c r="B443" s="13">
        <v>291726</v>
      </c>
      <c r="C443" s="14">
        <v>44739</v>
      </c>
      <c r="D443" s="15">
        <v>4</v>
      </c>
      <c r="E443" t="str">
        <f t="shared" si="6"/>
        <v>1202-291726-44739</v>
      </c>
    </row>
    <row r="444" spans="1:5" ht="14.25" customHeight="1">
      <c r="A444" s="13">
        <v>1202</v>
      </c>
      <c r="B444" s="13">
        <v>291726</v>
      </c>
      <c r="C444" s="14">
        <v>44746</v>
      </c>
      <c r="D444" s="15">
        <v>7</v>
      </c>
      <c r="E444" t="str">
        <f t="shared" si="6"/>
        <v>1202-291726-44746</v>
      </c>
    </row>
    <row r="445" spans="1:5" ht="14.25" customHeight="1">
      <c r="A445" s="13">
        <v>1202</v>
      </c>
      <c r="B445" s="13">
        <v>291726</v>
      </c>
      <c r="C445" s="14">
        <v>44753</v>
      </c>
      <c r="D445" s="15">
        <v>6</v>
      </c>
      <c r="E445" t="str">
        <f t="shared" si="6"/>
        <v>1202-291726-44753</v>
      </c>
    </row>
    <row r="446" spans="1:5" ht="14.25" customHeight="1">
      <c r="A446" s="13">
        <v>1202</v>
      </c>
      <c r="B446" s="13">
        <v>291726</v>
      </c>
      <c r="C446" s="14">
        <v>44760</v>
      </c>
      <c r="D446" s="15">
        <v>7</v>
      </c>
      <c r="E446" t="str">
        <f t="shared" si="6"/>
        <v>1202-291726-44760</v>
      </c>
    </row>
    <row r="447" spans="1:5" ht="14.25" customHeight="1">
      <c r="A447" s="13">
        <v>1202</v>
      </c>
      <c r="B447" s="13">
        <v>291726</v>
      </c>
      <c r="C447" s="14">
        <v>44767</v>
      </c>
      <c r="D447" s="15">
        <v>6</v>
      </c>
      <c r="E447" t="str">
        <f t="shared" si="6"/>
        <v>1202-291726-44767</v>
      </c>
    </row>
    <row r="448" spans="1:5" ht="14.25" customHeight="1">
      <c r="A448" s="13">
        <v>1202</v>
      </c>
      <c r="B448" s="13">
        <v>291726</v>
      </c>
      <c r="C448" s="14">
        <v>44774</v>
      </c>
      <c r="D448" s="15">
        <v>7</v>
      </c>
      <c r="E448" t="str">
        <f t="shared" si="6"/>
        <v>1202-291726-44774</v>
      </c>
    </row>
    <row r="449" spans="1:5" ht="14.25" customHeight="1">
      <c r="A449" s="13">
        <v>1202</v>
      </c>
      <c r="B449" s="13">
        <v>291726</v>
      </c>
      <c r="C449" s="14">
        <v>44781</v>
      </c>
      <c r="D449" s="15">
        <v>8</v>
      </c>
      <c r="E449" t="str">
        <f t="shared" si="6"/>
        <v>1202-291726-44781</v>
      </c>
    </row>
    <row r="450" spans="1:5" ht="14.25" customHeight="1">
      <c r="A450" s="13">
        <v>1202</v>
      </c>
      <c r="B450" s="13">
        <v>291726</v>
      </c>
      <c r="C450" s="14">
        <v>44788</v>
      </c>
      <c r="D450" s="15">
        <v>7</v>
      </c>
      <c r="E450" t="str">
        <f t="shared" si="6"/>
        <v>1202-291726-44788</v>
      </c>
    </row>
    <row r="451" spans="1:5" ht="14.25" customHeight="1">
      <c r="A451" s="13">
        <v>1202</v>
      </c>
      <c r="B451" s="13">
        <v>291728</v>
      </c>
      <c r="C451" s="14">
        <v>44739</v>
      </c>
      <c r="D451" s="15">
        <v>40</v>
      </c>
      <c r="E451" t="str">
        <f t="shared" ref="E451:E514" si="7">A451&amp;"-"&amp;B451&amp;"-"&amp;INT(C451)</f>
        <v>1202-291728-44739</v>
      </c>
    </row>
    <row r="452" spans="1:5" ht="14.25" customHeight="1">
      <c r="A452" s="13">
        <v>1202</v>
      </c>
      <c r="B452" s="13">
        <v>291728</v>
      </c>
      <c r="C452" s="14">
        <v>44746</v>
      </c>
      <c r="D452" s="15">
        <v>34</v>
      </c>
      <c r="E452" t="str">
        <f t="shared" si="7"/>
        <v>1202-291728-44746</v>
      </c>
    </row>
    <row r="453" spans="1:5" ht="14.25" customHeight="1">
      <c r="A453" s="13">
        <v>1202</v>
      </c>
      <c r="B453" s="13">
        <v>291728</v>
      </c>
      <c r="C453" s="14">
        <v>44753</v>
      </c>
      <c r="D453" s="15">
        <v>7</v>
      </c>
      <c r="E453" t="str">
        <f t="shared" si="7"/>
        <v>1202-291728-44753</v>
      </c>
    </row>
    <row r="454" spans="1:5" ht="14.25" customHeight="1">
      <c r="A454" s="13">
        <v>1202</v>
      </c>
      <c r="B454" s="13">
        <v>291728</v>
      </c>
      <c r="C454" s="14">
        <v>44760</v>
      </c>
      <c r="D454" s="15">
        <v>34</v>
      </c>
      <c r="E454" t="str">
        <f t="shared" si="7"/>
        <v>1202-291728-44760</v>
      </c>
    </row>
    <row r="455" spans="1:5" ht="14.25" customHeight="1">
      <c r="A455" s="13">
        <v>1202</v>
      </c>
      <c r="B455" s="13">
        <v>291728</v>
      </c>
      <c r="C455" s="14">
        <v>44767</v>
      </c>
      <c r="D455" s="15">
        <v>24</v>
      </c>
      <c r="E455" t="str">
        <f t="shared" si="7"/>
        <v>1202-291728-44767</v>
      </c>
    </row>
    <row r="456" spans="1:5" ht="14.25" customHeight="1">
      <c r="A456" s="13">
        <v>1202</v>
      </c>
      <c r="B456" s="13">
        <v>291728</v>
      </c>
      <c r="C456" s="14">
        <v>44774</v>
      </c>
      <c r="D456" s="15">
        <v>32</v>
      </c>
      <c r="E456" t="str">
        <f t="shared" si="7"/>
        <v>1202-291728-44774</v>
      </c>
    </row>
    <row r="457" spans="1:5" ht="14.25" customHeight="1">
      <c r="A457" s="13">
        <v>1202</v>
      </c>
      <c r="B457" s="13">
        <v>291728</v>
      </c>
      <c r="C457" s="14">
        <v>44781</v>
      </c>
      <c r="D457" s="15">
        <v>40</v>
      </c>
      <c r="E457" t="str">
        <f t="shared" si="7"/>
        <v>1202-291728-44781</v>
      </c>
    </row>
    <row r="458" spans="1:5" ht="14.25" customHeight="1">
      <c r="A458" s="13">
        <v>1202</v>
      </c>
      <c r="B458" s="13">
        <v>291728</v>
      </c>
      <c r="C458" s="14">
        <v>44788</v>
      </c>
      <c r="D458" s="15">
        <v>24</v>
      </c>
      <c r="E458" t="str">
        <f t="shared" si="7"/>
        <v>1202-291728-44788</v>
      </c>
    </row>
    <row r="459" spans="1:5" ht="14.25" customHeight="1">
      <c r="A459" s="13">
        <v>1202</v>
      </c>
      <c r="B459" s="13">
        <v>300380</v>
      </c>
      <c r="C459" s="14">
        <v>44739</v>
      </c>
      <c r="D459" s="15">
        <v>18</v>
      </c>
      <c r="E459" t="str">
        <f t="shared" si="7"/>
        <v>1202-300380-44739</v>
      </c>
    </row>
    <row r="460" spans="1:5" ht="14.25" customHeight="1">
      <c r="A460" s="13">
        <v>1202</v>
      </c>
      <c r="B460" s="13">
        <v>300380</v>
      </c>
      <c r="C460" s="14">
        <v>44746</v>
      </c>
      <c r="D460" s="15">
        <v>5</v>
      </c>
      <c r="E460" t="str">
        <f t="shared" si="7"/>
        <v>1202-300380-44746</v>
      </c>
    </row>
    <row r="461" spans="1:5" ht="14.25" customHeight="1">
      <c r="A461" s="13">
        <v>1202</v>
      </c>
      <c r="B461" s="13">
        <v>300380</v>
      </c>
      <c r="C461" s="14">
        <v>44753</v>
      </c>
      <c r="D461" s="15">
        <v>14</v>
      </c>
      <c r="E461" t="str">
        <f t="shared" si="7"/>
        <v>1202-300380-44753</v>
      </c>
    </row>
    <row r="462" spans="1:5" ht="14.25" customHeight="1">
      <c r="A462" s="13">
        <v>1202</v>
      </c>
      <c r="B462" s="13">
        <v>300380</v>
      </c>
      <c r="C462" s="14">
        <v>44760</v>
      </c>
      <c r="D462" s="15">
        <v>16</v>
      </c>
      <c r="E462" t="str">
        <f t="shared" si="7"/>
        <v>1202-300380-44760</v>
      </c>
    </row>
    <row r="463" spans="1:5" ht="14.25" customHeight="1">
      <c r="A463" s="13">
        <v>1202</v>
      </c>
      <c r="B463" s="13">
        <v>300380</v>
      </c>
      <c r="C463" s="14">
        <v>44767</v>
      </c>
      <c r="D463" s="15">
        <v>12</v>
      </c>
      <c r="E463" t="str">
        <f t="shared" si="7"/>
        <v>1202-300380-44767</v>
      </c>
    </row>
    <row r="464" spans="1:5" ht="14.25" customHeight="1">
      <c r="A464" s="13">
        <v>1202</v>
      </c>
      <c r="B464" s="13">
        <v>300380</v>
      </c>
      <c r="C464" s="14">
        <v>44774</v>
      </c>
      <c r="D464" s="15">
        <v>12</v>
      </c>
      <c r="E464" t="str">
        <f t="shared" si="7"/>
        <v>1202-300380-44774</v>
      </c>
    </row>
    <row r="465" spans="1:5" ht="14.25" customHeight="1">
      <c r="A465" s="13">
        <v>1202</v>
      </c>
      <c r="B465" s="13">
        <v>300380</v>
      </c>
      <c r="C465" s="14">
        <v>44781</v>
      </c>
      <c r="D465" s="15">
        <v>16</v>
      </c>
      <c r="E465" t="str">
        <f t="shared" si="7"/>
        <v>1202-300380-44781</v>
      </c>
    </row>
    <row r="466" spans="1:5" ht="14.25" customHeight="1">
      <c r="A466" s="13">
        <v>1202</v>
      </c>
      <c r="B466" s="13">
        <v>300380</v>
      </c>
      <c r="C466" s="14">
        <v>44788</v>
      </c>
      <c r="D466" s="15">
        <v>12</v>
      </c>
      <c r="E466" t="str">
        <f t="shared" si="7"/>
        <v>1202-300380-44788</v>
      </c>
    </row>
    <row r="467" spans="1:5" ht="14.25" customHeight="1">
      <c r="A467" s="13">
        <v>1202</v>
      </c>
      <c r="B467" s="13">
        <v>571521</v>
      </c>
      <c r="C467" s="14">
        <v>44739</v>
      </c>
      <c r="D467" s="15">
        <v>95</v>
      </c>
      <c r="E467" t="str">
        <f t="shared" si="7"/>
        <v>1202-571521-44739</v>
      </c>
    </row>
    <row r="468" spans="1:5" ht="14.25" customHeight="1">
      <c r="A468" s="13">
        <v>1202</v>
      </c>
      <c r="B468" s="13">
        <v>571521</v>
      </c>
      <c r="C468" s="14">
        <v>44746</v>
      </c>
      <c r="D468" s="15">
        <v>203</v>
      </c>
      <c r="E468" t="str">
        <f t="shared" si="7"/>
        <v>1202-571521-44746</v>
      </c>
    </row>
    <row r="469" spans="1:5" ht="14.25" customHeight="1">
      <c r="A469" s="13">
        <v>1202</v>
      </c>
      <c r="B469" s="13">
        <v>571521</v>
      </c>
      <c r="C469" s="14">
        <v>44753</v>
      </c>
      <c r="D469" s="15">
        <v>167</v>
      </c>
      <c r="E469" t="str">
        <f t="shared" si="7"/>
        <v>1202-571521-44753</v>
      </c>
    </row>
    <row r="470" spans="1:5" ht="14.25" customHeight="1">
      <c r="A470" s="13">
        <v>1202</v>
      </c>
      <c r="B470" s="13">
        <v>571521</v>
      </c>
      <c r="C470" s="14">
        <v>44760</v>
      </c>
      <c r="D470" s="15">
        <v>92</v>
      </c>
      <c r="E470" t="str">
        <f t="shared" si="7"/>
        <v>1202-571521-44760</v>
      </c>
    </row>
    <row r="471" spans="1:5" ht="14.25" customHeight="1">
      <c r="A471" s="13">
        <v>1202</v>
      </c>
      <c r="B471" s="13">
        <v>571521</v>
      </c>
      <c r="C471" s="14">
        <v>44767</v>
      </c>
      <c r="D471" s="15">
        <v>171</v>
      </c>
      <c r="E471" t="str">
        <f t="shared" si="7"/>
        <v>1202-571521-44767</v>
      </c>
    </row>
    <row r="472" spans="1:5" ht="14.25" customHeight="1">
      <c r="A472" s="13">
        <v>1202</v>
      </c>
      <c r="B472" s="13">
        <v>571521</v>
      </c>
      <c r="C472" s="14">
        <v>44774</v>
      </c>
      <c r="D472" s="15">
        <v>189</v>
      </c>
      <c r="E472" t="str">
        <f t="shared" si="7"/>
        <v>1202-571521-44774</v>
      </c>
    </row>
    <row r="473" spans="1:5" ht="14.25" customHeight="1">
      <c r="A473" s="13">
        <v>1202</v>
      </c>
      <c r="B473" s="13">
        <v>571521</v>
      </c>
      <c r="C473" s="14">
        <v>44781</v>
      </c>
      <c r="D473" s="15">
        <v>222</v>
      </c>
      <c r="E473" t="str">
        <f t="shared" si="7"/>
        <v>1202-571521-44781</v>
      </c>
    </row>
    <row r="474" spans="1:5" ht="14.25" customHeight="1">
      <c r="A474" s="13">
        <v>1202</v>
      </c>
      <c r="B474" s="13">
        <v>571521</v>
      </c>
      <c r="C474" s="14">
        <v>44788</v>
      </c>
      <c r="D474" s="15">
        <v>196</v>
      </c>
      <c r="E474" t="str">
        <f t="shared" si="7"/>
        <v>1202-571521-44788</v>
      </c>
    </row>
    <row r="475" spans="1:5" ht="14.25" customHeight="1">
      <c r="A475" s="13">
        <v>1202</v>
      </c>
      <c r="B475" s="13">
        <v>614993</v>
      </c>
      <c r="C475" s="14">
        <v>44739</v>
      </c>
      <c r="D475" s="15">
        <v>24</v>
      </c>
      <c r="E475" t="str">
        <f t="shared" si="7"/>
        <v>1202-614993-44739</v>
      </c>
    </row>
    <row r="476" spans="1:5" ht="14.25" customHeight="1">
      <c r="A476" s="13">
        <v>1202</v>
      </c>
      <c r="B476" s="13">
        <v>614993</v>
      </c>
      <c r="C476" s="14">
        <v>44746</v>
      </c>
      <c r="D476" s="15">
        <v>15</v>
      </c>
      <c r="E476" t="str">
        <f t="shared" si="7"/>
        <v>1202-614993-44746</v>
      </c>
    </row>
    <row r="477" spans="1:5" ht="14.25" customHeight="1">
      <c r="A477" s="13">
        <v>1202</v>
      </c>
      <c r="B477" s="13">
        <v>614993</v>
      </c>
      <c r="C477" s="14">
        <v>44753</v>
      </c>
      <c r="D477" s="15">
        <v>20</v>
      </c>
      <c r="E477" t="str">
        <f t="shared" si="7"/>
        <v>1202-614993-44753</v>
      </c>
    </row>
    <row r="478" spans="1:5" ht="14.25" customHeight="1">
      <c r="A478" s="13">
        <v>1202</v>
      </c>
      <c r="B478" s="13">
        <v>614993</v>
      </c>
      <c r="C478" s="14">
        <v>44760</v>
      </c>
      <c r="D478" s="15">
        <v>3</v>
      </c>
      <c r="E478" t="str">
        <f t="shared" si="7"/>
        <v>1202-614993-44760</v>
      </c>
    </row>
    <row r="479" spans="1:5" ht="14.25" customHeight="1">
      <c r="A479" s="13">
        <v>1202</v>
      </c>
      <c r="B479" s="13">
        <v>614993</v>
      </c>
      <c r="C479" s="14">
        <v>44767</v>
      </c>
      <c r="D479" s="15">
        <v>6</v>
      </c>
      <c r="E479" t="str">
        <f t="shared" si="7"/>
        <v>1202-614993-44767</v>
      </c>
    </row>
    <row r="480" spans="1:5" ht="14.25" customHeight="1">
      <c r="A480" s="13">
        <v>1202</v>
      </c>
      <c r="B480" s="13">
        <v>614993</v>
      </c>
      <c r="C480" s="14">
        <v>44774</v>
      </c>
      <c r="D480" s="15">
        <v>26</v>
      </c>
      <c r="E480" t="str">
        <f t="shared" si="7"/>
        <v>1202-614993-44774</v>
      </c>
    </row>
    <row r="481" spans="1:5" ht="14.25" customHeight="1">
      <c r="A481" s="13">
        <v>1202</v>
      </c>
      <c r="B481" s="13">
        <v>614993</v>
      </c>
      <c r="C481" s="14">
        <v>44781</v>
      </c>
      <c r="D481" s="15">
        <v>15</v>
      </c>
      <c r="E481" t="str">
        <f t="shared" si="7"/>
        <v>1202-614993-44781</v>
      </c>
    </row>
    <row r="482" spans="1:5" ht="14.25" customHeight="1">
      <c r="A482" s="13">
        <v>1202</v>
      </c>
      <c r="B482" s="13">
        <v>614993</v>
      </c>
      <c r="C482" s="14">
        <v>44788</v>
      </c>
      <c r="D482" s="15">
        <v>21</v>
      </c>
      <c r="E482" t="str">
        <f t="shared" si="7"/>
        <v>1202-614993-44788</v>
      </c>
    </row>
    <row r="483" spans="1:5" ht="14.25" customHeight="1">
      <c r="A483" s="13">
        <v>1203</v>
      </c>
      <c r="B483" s="13">
        <v>23393</v>
      </c>
      <c r="C483" s="14">
        <v>44739</v>
      </c>
      <c r="D483" s="15">
        <v>800</v>
      </c>
      <c r="E483" t="str">
        <f t="shared" si="7"/>
        <v>1203-23393-44739</v>
      </c>
    </row>
    <row r="484" spans="1:5" ht="14.25" customHeight="1">
      <c r="A484" s="16">
        <v>1203</v>
      </c>
      <c r="B484" s="13">
        <v>23393</v>
      </c>
      <c r="C484" s="14">
        <v>44746</v>
      </c>
      <c r="D484" s="15">
        <v>995</v>
      </c>
      <c r="E484" t="str">
        <f t="shared" si="7"/>
        <v>1203-23393-44746</v>
      </c>
    </row>
    <row r="485" spans="1:5" ht="14.25" customHeight="1">
      <c r="A485" s="13">
        <v>1203</v>
      </c>
      <c r="B485" s="13">
        <v>23393</v>
      </c>
      <c r="C485" s="14">
        <v>44753</v>
      </c>
      <c r="D485" s="15">
        <v>941</v>
      </c>
      <c r="E485" t="str">
        <f t="shared" si="7"/>
        <v>1203-23393-44753</v>
      </c>
    </row>
    <row r="486" spans="1:5" ht="14.25" customHeight="1">
      <c r="A486" s="13">
        <v>1203</v>
      </c>
      <c r="B486" s="13">
        <v>23393</v>
      </c>
      <c r="C486" s="14">
        <v>44760</v>
      </c>
      <c r="D486" s="15">
        <v>788</v>
      </c>
      <c r="E486" t="str">
        <f t="shared" si="7"/>
        <v>1203-23393-44760</v>
      </c>
    </row>
    <row r="487" spans="1:5" ht="14.25" customHeight="1">
      <c r="A487" s="13">
        <v>1203</v>
      </c>
      <c r="B487" s="13">
        <v>23393</v>
      </c>
      <c r="C487" s="14">
        <v>44767</v>
      </c>
      <c r="D487" s="15">
        <v>329</v>
      </c>
      <c r="E487" t="str">
        <f t="shared" si="7"/>
        <v>1203-23393-44767</v>
      </c>
    </row>
    <row r="488" spans="1:5" ht="14.25" customHeight="1">
      <c r="A488" s="13">
        <v>1203</v>
      </c>
      <c r="B488" s="13">
        <v>23393</v>
      </c>
      <c r="C488" s="14">
        <v>44774</v>
      </c>
      <c r="D488" s="15">
        <v>360</v>
      </c>
      <c r="E488" t="str">
        <f t="shared" si="7"/>
        <v>1203-23393-44774</v>
      </c>
    </row>
    <row r="489" spans="1:5" ht="14.25" customHeight="1">
      <c r="A489" s="13">
        <v>1203</v>
      </c>
      <c r="B489" s="13">
        <v>23393</v>
      </c>
      <c r="C489" s="14">
        <v>44781</v>
      </c>
      <c r="D489" s="15">
        <v>918</v>
      </c>
      <c r="E489" t="str">
        <f t="shared" si="7"/>
        <v>1203-23393-44781</v>
      </c>
    </row>
    <row r="490" spans="1:5" ht="14.25" customHeight="1">
      <c r="A490" s="13">
        <v>1203</v>
      </c>
      <c r="B490" s="13">
        <v>23393</v>
      </c>
      <c r="C490" s="14">
        <v>44788</v>
      </c>
      <c r="D490" s="15">
        <v>328</v>
      </c>
      <c r="E490" t="str">
        <f t="shared" si="7"/>
        <v>1203-23393-44788</v>
      </c>
    </row>
    <row r="491" spans="1:5" ht="14.25" customHeight="1">
      <c r="A491" s="13">
        <v>1203</v>
      </c>
      <c r="B491" s="13">
        <v>26764</v>
      </c>
      <c r="C491" s="14">
        <v>44739</v>
      </c>
      <c r="D491" s="15">
        <v>95</v>
      </c>
      <c r="E491" t="str">
        <f t="shared" si="7"/>
        <v>1203-26764-44739</v>
      </c>
    </row>
    <row r="492" spans="1:5" ht="14.25" customHeight="1">
      <c r="A492" s="13">
        <v>1203</v>
      </c>
      <c r="B492" s="13">
        <v>26764</v>
      </c>
      <c r="C492" s="14">
        <v>44746</v>
      </c>
      <c r="D492" s="15">
        <v>196</v>
      </c>
      <c r="E492" t="str">
        <f t="shared" si="7"/>
        <v>1203-26764-44746</v>
      </c>
    </row>
    <row r="493" spans="1:5" ht="14.25" customHeight="1">
      <c r="A493" s="13">
        <v>1203</v>
      </c>
      <c r="B493" s="13">
        <v>26764</v>
      </c>
      <c r="C493" s="14">
        <v>44753</v>
      </c>
      <c r="D493" s="15">
        <v>92</v>
      </c>
      <c r="E493" t="str">
        <f t="shared" si="7"/>
        <v>1203-26764-44753</v>
      </c>
    </row>
    <row r="494" spans="1:5" ht="14.25" customHeight="1">
      <c r="A494" s="13">
        <v>1203</v>
      </c>
      <c r="B494" s="13">
        <v>26764</v>
      </c>
      <c r="C494" s="14">
        <v>44760</v>
      </c>
      <c r="D494" s="15">
        <v>267</v>
      </c>
      <c r="E494" t="str">
        <f t="shared" si="7"/>
        <v>1203-26764-44760</v>
      </c>
    </row>
    <row r="495" spans="1:5" ht="14.25" customHeight="1">
      <c r="A495" s="13">
        <v>1203</v>
      </c>
      <c r="B495" s="13">
        <v>26764</v>
      </c>
      <c r="C495" s="14">
        <v>44767</v>
      </c>
      <c r="D495" s="15">
        <v>92</v>
      </c>
      <c r="E495" t="str">
        <f t="shared" si="7"/>
        <v>1203-26764-44767</v>
      </c>
    </row>
    <row r="496" spans="1:5" ht="14.25" customHeight="1">
      <c r="A496" s="13">
        <v>1203</v>
      </c>
      <c r="B496" s="13">
        <v>26764</v>
      </c>
      <c r="C496" s="14">
        <v>44774</v>
      </c>
      <c r="D496" s="15">
        <v>331</v>
      </c>
      <c r="E496" t="str">
        <f t="shared" si="7"/>
        <v>1203-26764-44774</v>
      </c>
    </row>
    <row r="497" spans="1:5" ht="14.25" customHeight="1">
      <c r="A497" s="13">
        <v>1203</v>
      </c>
      <c r="B497" s="13">
        <v>26764</v>
      </c>
      <c r="C497" s="14">
        <v>44781</v>
      </c>
      <c r="D497" s="15">
        <v>320</v>
      </c>
      <c r="E497" t="str">
        <f t="shared" si="7"/>
        <v>1203-26764-44781</v>
      </c>
    </row>
    <row r="498" spans="1:5" ht="14.25" customHeight="1">
      <c r="A498" s="13">
        <v>1203</v>
      </c>
      <c r="B498" s="13">
        <v>26764</v>
      </c>
      <c r="C498" s="14">
        <v>44788</v>
      </c>
      <c r="D498" s="15">
        <v>279</v>
      </c>
      <c r="E498" t="str">
        <f t="shared" si="7"/>
        <v>1203-26764-44788</v>
      </c>
    </row>
    <row r="499" spans="1:5" ht="14.25" customHeight="1">
      <c r="A499" s="13">
        <v>1203</v>
      </c>
      <c r="B499" s="13">
        <v>53934</v>
      </c>
      <c r="C499" s="14">
        <v>44739</v>
      </c>
      <c r="D499" s="15">
        <v>808</v>
      </c>
      <c r="E499" t="str">
        <f t="shared" si="7"/>
        <v>1203-53934-44739</v>
      </c>
    </row>
    <row r="500" spans="1:5" ht="14.25" customHeight="1">
      <c r="A500" s="13">
        <v>1203</v>
      </c>
      <c r="B500" s="13">
        <v>53934</v>
      </c>
      <c r="C500" s="14">
        <v>44746</v>
      </c>
      <c r="D500" s="15">
        <v>364</v>
      </c>
      <c r="E500" t="str">
        <f t="shared" si="7"/>
        <v>1203-53934-44746</v>
      </c>
    </row>
    <row r="501" spans="1:5" ht="14.25" customHeight="1">
      <c r="A501" s="13">
        <v>1203</v>
      </c>
      <c r="B501" s="13">
        <v>53934</v>
      </c>
      <c r="C501" s="14">
        <v>44753</v>
      </c>
      <c r="D501" s="15">
        <v>967</v>
      </c>
      <c r="E501" t="str">
        <f t="shared" si="7"/>
        <v>1203-53934-44753</v>
      </c>
    </row>
    <row r="502" spans="1:5" ht="14.25" customHeight="1">
      <c r="A502" s="13">
        <v>1203</v>
      </c>
      <c r="B502" s="13">
        <v>53934</v>
      </c>
      <c r="C502" s="14">
        <v>44760</v>
      </c>
      <c r="D502" s="15">
        <v>809</v>
      </c>
      <c r="E502" t="str">
        <f t="shared" si="7"/>
        <v>1203-53934-44760</v>
      </c>
    </row>
    <row r="503" spans="1:5" ht="14.25" customHeight="1">
      <c r="A503" s="13">
        <v>1203</v>
      </c>
      <c r="B503" s="13">
        <v>53934</v>
      </c>
      <c r="C503" s="14">
        <v>44767</v>
      </c>
      <c r="D503" s="15">
        <v>655</v>
      </c>
      <c r="E503" t="str">
        <f t="shared" si="7"/>
        <v>1203-53934-44767</v>
      </c>
    </row>
    <row r="504" spans="1:5" ht="14.25" customHeight="1">
      <c r="A504" s="13">
        <v>1203</v>
      </c>
      <c r="B504" s="13">
        <v>53934</v>
      </c>
      <c r="C504" s="14">
        <v>44774</v>
      </c>
      <c r="D504" s="15">
        <v>391</v>
      </c>
      <c r="E504" t="str">
        <f t="shared" si="7"/>
        <v>1203-53934-44774</v>
      </c>
    </row>
    <row r="505" spans="1:5" ht="14.25" customHeight="1">
      <c r="A505" s="13">
        <v>1203</v>
      </c>
      <c r="B505" s="13">
        <v>53934</v>
      </c>
      <c r="C505" s="14">
        <v>44781</v>
      </c>
      <c r="D505" s="15">
        <v>773</v>
      </c>
      <c r="E505" t="str">
        <f t="shared" si="7"/>
        <v>1203-53934-44781</v>
      </c>
    </row>
    <row r="506" spans="1:5" ht="14.25" customHeight="1">
      <c r="A506" s="13">
        <v>1203</v>
      </c>
      <c r="B506" s="13">
        <v>53934</v>
      </c>
      <c r="C506" s="14">
        <v>44788</v>
      </c>
      <c r="D506" s="15">
        <v>888</v>
      </c>
      <c r="E506" t="str">
        <f t="shared" si="7"/>
        <v>1203-53934-44788</v>
      </c>
    </row>
    <row r="507" spans="1:5" ht="14.25" customHeight="1">
      <c r="A507" s="13">
        <v>1203</v>
      </c>
      <c r="B507" s="13">
        <v>78699</v>
      </c>
      <c r="C507" s="14">
        <v>44739</v>
      </c>
      <c r="D507" s="15">
        <v>6</v>
      </c>
      <c r="E507" t="str">
        <f t="shared" si="7"/>
        <v>1203-78699-44739</v>
      </c>
    </row>
    <row r="508" spans="1:5" ht="14.25" customHeight="1">
      <c r="A508" s="13">
        <v>1203</v>
      </c>
      <c r="B508" s="13">
        <v>78699</v>
      </c>
      <c r="C508" s="14">
        <v>44746</v>
      </c>
      <c r="D508" s="15">
        <v>6</v>
      </c>
      <c r="E508" t="str">
        <f t="shared" si="7"/>
        <v>1203-78699-44746</v>
      </c>
    </row>
    <row r="509" spans="1:5" ht="14.25" customHeight="1">
      <c r="A509" s="13">
        <v>1203</v>
      </c>
      <c r="B509" s="13">
        <v>78699</v>
      </c>
      <c r="C509" s="14">
        <v>44753</v>
      </c>
      <c r="D509" s="15">
        <v>6</v>
      </c>
      <c r="E509" t="str">
        <f t="shared" si="7"/>
        <v>1203-78699-44753</v>
      </c>
    </row>
    <row r="510" spans="1:5" ht="14.25" customHeight="1">
      <c r="A510" s="13">
        <v>1203</v>
      </c>
      <c r="B510" s="13">
        <v>78699</v>
      </c>
      <c r="C510" s="14">
        <v>44760</v>
      </c>
      <c r="D510" s="15">
        <v>6</v>
      </c>
      <c r="E510" t="str">
        <f t="shared" si="7"/>
        <v>1203-78699-44760</v>
      </c>
    </row>
    <row r="511" spans="1:5" ht="14.25" customHeight="1">
      <c r="A511" s="13">
        <v>1203</v>
      </c>
      <c r="B511" s="13">
        <v>78699</v>
      </c>
      <c r="C511" s="14">
        <v>44767</v>
      </c>
      <c r="D511" s="15">
        <v>6</v>
      </c>
      <c r="E511" t="str">
        <f t="shared" si="7"/>
        <v>1203-78699-44767</v>
      </c>
    </row>
    <row r="512" spans="1:5" ht="14.25" customHeight="1">
      <c r="A512" s="13">
        <v>1203</v>
      </c>
      <c r="B512" s="13">
        <v>78699</v>
      </c>
      <c r="C512" s="14">
        <v>44774</v>
      </c>
      <c r="D512" s="15">
        <v>6</v>
      </c>
      <c r="E512" t="str">
        <f t="shared" si="7"/>
        <v>1203-78699-44774</v>
      </c>
    </row>
    <row r="513" spans="1:5" ht="14.25" customHeight="1">
      <c r="A513" s="13">
        <v>1203</v>
      </c>
      <c r="B513" s="13">
        <v>78699</v>
      </c>
      <c r="C513" s="14">
        <v>44781</v>
      </c>
      <c r="D513" s="15">
        <v>6</v>
      </c>
      <c r="E513" t="str">
        <f t="shared" si="7"/>
        <v>1203-78699-44781</v>
      </c>
    </row>
    <row r="514" spans="1:5" ht="14.25" customHeight="1">
      <c r="A514" s="13">
        <v>1203</v>
      </c>
      <c r="B514" s="13">
        <v>78699</v>
      </c>
      <c r="C514" s="14">
        <v>44788</v>
      </c>
      <c r="D514" s="15">
        <v>6</v>
      </c>
      <c r="E514" t="str">
        <f t="shared" si="7"/>
        <v>1203-78699-44788</v>
      </c>
    </row>
    <row r="515" spans="1:5" ht="14.25" customHeight="1">
      <c r="A515" s="13">
        <v>1203</v>
      </c>
      <c r="B515" s="13">
        <v>78869</v>
      </c>
      <c r="C515" s="14">
        <v>44739</v>
      </c>
      <c r="D515" s="15">
        <v>13</v>
      </c>
      <c r="E515" t="str">
        <f t="shared" ref="E515:E578" si="8">A515&amp;"-"&amp;B515&amp;"-"&amp;INT(C515)</f>
        <v>1203-78869-44739</v>
      </c>
    </row>
    <row r="516" spans="1:5" ht="14.25" customHeight="1">
      <c r="A516" s="13">
        <v>1203</v>
      </c>
      <c r="B516" s="13">
        <v>78869</v>
      </c>
      <c r="C516" s="14">
        <v>44746</v>
      </c>
      <c r="D516" s="15">
        <v>51</v>
      </c>
      <c r="E516" t="str">
        <f t="shared" si="8"/>
        <v>1203-78869-44746</v>
      </c>
    </row>
    <row r="517" spans="1:5" ht="14.25" customHeight="1">
      <c r="A517" s="13">
        <v>1203</v>
      </c>
      <c r="B517" s="13">
        <v>78869</v>
      </c>
      <c r="C517" s="14">
        <v>44753</v>
      </c>
      <c r="D517" s="15">
        <v>18</v>
      </c>
      <c r="E517" t="str">
        <f t="shared" si="8"/>
        <v>1203-78869-44753</v>
      </c>
    </row>
    <row r="518" spans="1:5" ht="14.25" customHeight="1">
      <c r="A518" s="13">
        <v>1203</v>
      </c>
      <c r="B518" s="13">
        <v>78869</v>
      </c>
      <c r="C518" s="14">
        <v>44760</v>
      </c>
      <c r="D518" s="15">
        <v>48</v>
      </c>
      <c r="E518" t="str">
        <f t="shared" si="8"/>
        <v>1203-78869-44760</v>
      </c>
    </row>
    <row r="519" spans="1:5" ht="14.25" customHeight="1">
      <c r="A519" s="13">
        <v>1203</v>
      </c>
      <c r="B519" s="13">
        <v>78869</v>
      </c>
      <c r="C519" s="14">
        <v>44767</v>
      </c>
      <c r="D519" s="15">
        <v>16</v>
      </c>
      <c r="E519" t="str">
        <f t="shared" si="8"/>
        <v>1203-78869-44767</v>
      </c>
    </row>
    <row r="520" spans="1:5" ht="14.25" customHeight="1">
      <c r="A520" s="13">
        <v>1203</v>
      </c>
      <c r="B520" s="13">
        <v>78869</v>
      </c>
      <c r="C520" s="14">
        <v>44774</v>
      </c>
      <c r="D520" s="15">
        <v>56</v>
      </c>
      <c r="E520" t="str">
        <f t="shared" si="8"/>
        <v>1203-78869-44774</v>
      </c>
    </row>
    <row r="521" spans="1:5" ht="14.25" customHeight="1">
      <c r="A521" s="13">
        <v>1203</v>
      </c>
      <c r="B521" s="13">
        <v>78869</v>
      </c>
      <c r="C521" s="14">
        <v>44781</v>
      </c>
      <c r="D521" s="15">
        <v>45</v>
      </c>
      <c r="E521" t="str">
        <f t="shared" si="8"/>
        <v>1203-78869-44781</v>
      </c>
    </row>
    <row r="522" spans="1:5" ht="14.25" customHeight="1">
      <c r="A522" s="13">
        <v>1203</v>
      </c>
      <c r="B522" s="13">
        <v>78869</v>
      </c>
      <c r="C522" s="14">
        <v>44788</v>
      </c>
      <c r="D522" s="15">
        <v>56</v>
      </c>
      <c r="E522" t="str">
        <f t="shared" si="8"/>
        <v>1203-78869-44788</v>
      </c>
    </row>
    <row r="523" spans="1:5" ht="14.25" customHeight="1">
      <c r="A523" s="13">
        <v>1203</v>
      </c>
      <c r="B523" s="13">
        <v>115600</v>
      </c>
      <c r="C523" s="14">
        <v>44739</v>
      </c>
      <c r="D523" s="15">
        <v>128</v>
      </c>
      <c r="E523" t="str">
        <f t="shared" si="8"/>
        <v>1203-115600-44739</v>
      </c>
    </row>
    <row r="524" spans="1:5" ht="14.25" customHeight="1">
      <c r="A524" s="13">
        <v>1203</v>
      </c>
      <c r="B524" s="13">
        <v>115600</v>
      </c>
      <c r="C524" s="14">
        <v>44746</v>
      </c>
      <c r="D524" s="15">
        <v>146</v>
      </c>
      <c r="E524" t="str">
        <f t="shared" si="8"/>
        <v>1203-115600-44746</v>
      </c>
    </row>
    <row r="525" spans="1:5" ht="14.25" customHeight="1">
      <c r="A525" s="13">
        <v>1203</v>
      </c>
      <c r="B525" s="13">
        <v>115600</v>
      </c>
      <c r="C525" s="14">
        <v>44753</v>
      </c>
      <c r="D525" s="15">
        <v>136</v>
      </c>
      <c r="E525" t="str">
        <f t="shared" si="8"/>
        <v>1203-115600-44753</v>
      </c>
    </row>
    <row r="526" spans="1:5" ht="14.25" customHeight="1">
      <c r="A526" s="13">
        <v>1203</v>
      </c>
      <c r="B526" s="13">
        <v>115600</v>
      </c>
      <c r="C526" s="14">
        <v>44760</v>
      </c>
      <c r="D526" s="15">
        <v>120</v>
      </c>
      <c r="E526" t="str">
        <f t="shared" si="8"/>
        <v>1203-115600-44760</v>
      </c>
    </row>
    <row r="527" spans="1:5" ht="14.25" customHeight="1">
      <c r="A527" s="13">
        <v>1203</v>
      </c>
      <c r="B527" s="13">
        <v>115600</v>
      </c>
      <c r="C527" s="14">
        <v>44767</v>
      </c>
      <c r="D527" s="15">
        <v>133</v>
      </c>
      <c r="E527" t="str">
        <f t="shared" si="8"/>
        <v>1203-115600-44767</v>
      </c>
    </row>
    <row r="528" spans="1:5" ht="14.25" customHeight="1">
      <c r="A528" s="13">
        <v>1203</v>
      </c>
      <c r="B528" s="13">
        <v>115600</v>
      </c>
      <c r="C528" s="14">
        <v>44774</v>
      </c>
      <c r="D528" s="15">
        <v>128</v>
      </c>
      <c r="E528" t="str">
        <f t="shared" si="8"/>
        <v>1203-115600-44774</v>
      </c>
    </row>
    <row r="529" spans="1:5" ht="14.25" customHeight="1">
      <c r="A529" s="13">
        <v>1203</v>
      </c>
      <c r="B529" s="13">
        <v>115600</v>
      </c>
      <c r="C529" s="14">
        <v>44781</v>
      </c>
      <c r="D529" s="15">
        <v>145</v>
      </c>
      <c r="E529" t="str">
        <f t="shared" si="8"/>
        <v>1203-115600-44781</v>
      </c>
    </row>
    <row r="530" spans="1:5" ht="14.25" customHeight="1">
      <c r="A530" s="13">
        <v>1203</v>
      </c>
      <c r="B530" s="13">
        <v>115600</v>
      </c>
      <c r="C530" s="14">
        <v>44788</v>
      </c>
      <c r="D530" s="15">
        <v>101</v>
      </c>
      <c r="E530" t="str">
        <f t="shared" si="8"/>
        <v>1203-115600-44788</v>
      </c>
    </row>
    <row r="531" spans="1:5" ht="14.25" customHeight="1">
      <c r="A531" s="13">
        <v>1203</v>
      </c>
      <c r="B531" s="13">
        <v>129208</v>
      </c>
      <c r="C531" s="14">
        <v>32874</v>
      </c>
      <c r="D531" s="15">
        <v>48</v>
      </c>
      <c r="E531" t="str">
        <f t="shared" si="8"/>
        <v>1203-129208-32874</v>
      </c>
    </row>
    <row r="532" spans="1:5" ht="14.25" customHeight="1">
      <c r="A532" s="13">
        <v>1203</v>
      </c>
      <c r="B532" s="13">
        <v>129208</v>
      </c>
      <c r="C532" s="14">
        <v>44739</v>
      </c>
      <c r="D532" s="15">
        <v>54</v>
      </c>
      <c r="E532" t="str">
        <f t="shared" si="8"/>
        <v>1203-129208-44739</v>
      </c>
    </row>
    <row r="533" spans="1:5" ht="14.25" customHeight="1">
      <c r="A533" s="13">
        <v>1203</v>
      </c>
      <c r="B533" s="13">
        <v>129208</v>
      </c>
      <c r="C533" s="14">
        <v>44746</v>
      </c>
      <c r="D533" s="15">
        <v>35</v>
      </c>
      <c r="E533" t="str">
        <f t="shared" si="8"/>
        <v>1203-129208-44746</v>
      </c>
    </row>
    <row r="534" spans="1:5" ht="14.25" customHeight="1">
      <c r="A534" s="13">
        <v>1203</v>
      </c>
      <c r="B534" s="13">
        <v>129208</v>
      </c>
      <c r="C534" s="14">
        <v>44753</v>
      </c>
      <c r="D534" s="15">
        <v>37</v>
      </c>
      <c r="E534" t="str">
        <f t="shared" si="8"/>
        <v>1203-129208-44753</v>
      </c>
    </row>
    <row r="535" spans="1:5" ht="14.25" customHeight="1">
      <c r="A535" s="13">
        <v>1203</v>
      </c>
      <c r="B535" s="13">
        <v>129208</v>
      </c>
      <c r="C535" s="14">
        <v>44760</v>
      </c>
      <c r="D535" s="15">
        <v>36</v>
      </c>
      <c r="E535" t="str">
        <f t="shared" si="8"/>
        <v>1203-129208-44760</v>
      </c>
    </row>
    <row r="536" spans="1:5" ht="14.25" customHeight="1">
      <c r="A536" s="13">
        <v>1203</v>
      </c>
      <c r="B536" s="13">
        <v>129208</v>
      </c>
      <c r="C536" s="14">
        <v>44767</v>
      </c>
      <c r="D536" s="15">
        <v>35</v>
      </c>
      <c r="E536" t="str">
        <f t="shared" si="8"/>
        <v>1203-129208-44767</v>
      </c>
    </row>
    <row r="537" spans="1:5" ht="14.25" customHeight="1">
      <c r="A537" s="13">
        <v>1203</v>
      </c>
      <c r="B537" s="13">
        <v>129208</v>
      </c>
      <c r="C537" s="14">
        <v>44774</v>
      </c>
      <c r="D537" s="15">
        <v>75</v>
      </c>
      <c r="E537" t="str">
        <f t="shared" si="8"/>
        <v>1203-129208-44774</v>
      </c>
    </row>
    <row r="538" spans="1:5" ht="14.25" customHeight="1">
      <c r="A538" s="13">
        <v>1203</v>
      </c>
      <c r="B538" s="13">
        <v>129208</v>
      </c>
      <c r="C538" s="14">
        <v>44781</v>
      </c>
      <c r="D538" s="15">
        <v>72</v>
      </c>
      <c r="E538" t="str">
        <f t="shared" si="8"/>
        <v>1203-129208-44781</v>
      </c>
    </row>
    <row r="539" spans="1:5" ht="14.25" customHeight="1">
      <c r="A539" s="13">
        <v>1203</v>
      </c>
      <c r="B539" s="13">
        <v>129208</v>
      </c>
      <c r="C539" s="14">
        <v>44788</v>
      </c>
      <c r="D539" s="15">
        <v>40</v>
      </c>
      <c r="E539" t="str">
        <f t="shared" si="8"/>
        <v>1203-129208-44788</v>
      </c>
    </row>
    <row r="540" spans="1:5" ht="14.25" customHeight="1">
      <c r="A540" s="13">
        <v>1203</v>
      </c>
      <c r="B540" s="13">
        <v>141622</v>
      </c>
      <c r="C540" s="14">
        <v>44739</v>
      </c>
      <c r="D540" s="15">
        <v>43</v>
      </c>
      <c r="E540" t="str">
        <f t="shared" si="8"/>
        <v>1203-141622-44739</v>
      </c>
    </row>
    <row r="541" spans="1:5" ht="14.25" customHeight="1">
      <c r="A541" s="13">
        <v>1203</v>
      </c>
      <c r="B541" s="13">
        <v>141622</v>
      </c>
      <c r="C541" s="14">
        <v>44746</v>
      </c>
      <c r="D541" s="15">
        <v>36</v>
      </c>
      <c r="E541" t="str">
        <f t="shared" si="8"/>
        <v>1203-141622-44746</v>
      </c>
    </row>
    <row r="542" spans="1:5" ht="14.25" customHeight="1">
      <c r="A542" s="13">
        <v>1203</v>
      </c>
      <c r="B542" s="13">
        <v>141622</v>
      </c>
      <c r="C542" s="14">
        <v>44753</v>
      </c>
      <c r="D542" s="15">
        <v>27</v>
      </c>
      <c r="E542" t="str">
        <f t="shared" si="8"/>
        <v>1203-141622-44753</v>
      </c>
    </row>
    <row r="543" spans="1:5" ht="14.25" customHeight="1">
      <c r="A543" s="13">
        <v>1203</v>
      </c>
      <c r="B543" s="13">
        <v>141622</v>
      </c>
      <c r="C543" s="14">
        <v>44760</v>
      </c>
      <c r="D543" s="15">
        <v>42</v>
      </c>
      <c r="E543" t="str">
        <f t="shared" si="8"/>
        <v>1203-141622-44760</v>
      </c>
    </row>
    <row r="544" spans="1:5" ht="14.25" customHeight="1">
      <c r="A544" s="13">
        <v>1203</v>
      </c>
      <c r="B544" s="13">
        <v>141622</v>
      </c>
      <c r="C544" s="14">
        <v>44767</v>
      </c>
      <c r="D544" s="15">
        <v>45</v>
      </c>
      <c r="E544" t="str">
        <f t="shared" si="8"/>
        <v>1203-141622-44767</v>
      </c>
    </row>
    <row r="545" spans="1:5" ht="14.25" customHeight="1">
      <c r="A545" s="13">
        <v>1203</v>
      </c>
      <c r="B545" s="13">
        <v>141622</v>
      </c>
      <c r="C545" s="14">
        <v>44774</v>
      </c>
      <c r="D545" s="15">
        <v>26</v>
      </c>
      <c r="E545" t="str">
        <f t="shared" si="8"/>
        <v>1203-141622-44774</v>
      </c>
    </row>
    <row r="546" spans="1:5" ht="14.25" customHeight="1">
      <c r="A546" s="13">
        <v>1203</v>
      </c>
      <c r="B546" s="13">
        <v>141622</v>
      </c>
      <c r="C546" s="14">
        <v>44781</v>
      </c>
      <c r="D546" s="15">
        <v>36</v>
      </c>
      <c r="E546" t="str">
        <f t="shared" si="8"/>
        <v>1203-141622-44781</v>
      </c>
    </row>
    <row r="547" spans="1:5" ht="14.25" customHeight="1">
      <c r="A547" s="13">
        <v>1203</v>
      </c>
      <c r="B547" s="13">
        <v>141622</v>
      </c>
      <c r="C547" s="14">
        <v>44788</v>
      </c>
      <c r="D547" s="15">
        <v>24</v>
      </c>
      <c r="E547" t="str">
        <f t="shared" si="8"/>
        <v>1203-141622-44788</v>
      </c>
    </row>
    <row r="548" spans="1:5" ht="14.25" customHeight="1">
      <c r="A548" s="13">
        <v>1203</v>
      </c>
      <c r="B548" s="13">
        <v>141626</v>
      </c>
      <c r="C548" s="14">
        <v>44739</v>
      </c>
      <c r="D548" s="15">
        <v>1098</v>
      </c>
      <c r="E548" t="str">
        <f t="shared" si="8"/>
        <v>1203-141626-44739</v>
      </c>
    </row>
    <row r="549" spans="1:5" ht="14.25" customHeight="1">
      <c r="A549" s="13">
        <v>1203</v>
      </c>
      <c r="B549" s="13">
        <v>141626</v>
      </c>
      <c r="C549" s="14">
        <v>44746</v>
      </c>
      <c r="D549" s="15">
        <v>1395</v>
      </c>
      <c r="E549" t="str">
        <f t="shared" si="8"/>
        <v>1203-141626-44746</v>
      </c>
    </row>
    <row r="550" spans="1:5" ht="14.25" customHeight="1">
      <c r="A550" s="13">
        <v>1203</v>
      </c>
      <c r="B550" s="13">
        <v>141626</v>
      </c>
      <c r="C550" s="14">
        <v>44753</v>
      </c>
      <c r="D550" s="15">
        <v>1060</v>
      </c>
      <c r="E550" t="str">
        <f t="shared" si="8"/>
        <v>1203-141626-44753</v>
      </c>
    </row>
    <row r="551" spans="1:5" ht="14.25" customHeight="1">
      <c r="A551" s="13">
        <v>1203</v>
      </c>
      <c r="B551" s="13">
        <v>141626</v>
      </c>
      <c r="C551" s="14">
        <v>44760</v>
      </c>
      <c r="D551" s="15">
        <v>1064</v>
      </c>
      <c r="E551" t="str">
        <f t="shared" si="8"/>
        <v>1203-141626-44760</v>
      </c>
    </row>
    <row r="552" spans="1:5" ht="14.25" customHeight="1">
      <c r="A552" s="13">
        <v>1203</v>
      </c>
      <c r="B552" s="13">
        <v>141626</v>
      </c>
      <c r="C552" s="14">
        <v>44767</v>
      </c>
      <c r="D552" s="15">
        <v>1242</v>
      </c>
      <c r="E552" t="str">
        <f t="shared" si="8"/>
        <v>1203-141626-44767</v>
      </c>
    </row>
    <row r="553" spans="1:5" ht="14.25" customHeight="1">
      <c r="A553" s="13">
        <v>1203</v>
      </c>
      <c r="B553" s="13">
        <v>141626</v>
      </c>
      <c r="C553" s="14">
        <v>44774</v>
      </c>
      <c r="D553" s="15">
        <v>928</v>
      </c>
      <c r="E553" t="str">
        <f t="shared" si="8"/>
        <v>1203-141626-44774</v>
      </c>
    </row>
    <row r="554" spans="1:5" ht="14.25" customHeight="1">
      <c r="A554" s="13">
        <v>1203</v>
      </c>
      <c r="B554" s="13">
        <v>141626</v>
      </c>
      <c r="C554" s="14">
        <v>44781</v>
      </c>
      <c r="D554" s="15">
        <v>635</v>
      </c>
      <c r="E554" t="str">
        <f t="shared" si="8"/>
        <v>1203-141626-44781</v>
      </c>
    </row>
    <row r="555" spans="1:5" ht="14.25" customHeight="1">
      <c r="A555" s="13">
        <v>1203</v>
      </c>
      <c r="B555" s="13">
        <v>141626</v>
      </c>
      <c r="C555" s="14">
        <v>44788</v>
      </c>
      <c r="D555" s="15">
        <v>1368</v>
      </c>
      <c r="E555" t="str">
        <f t="shared" si="8"/>
        <v>1203-141626-44788</v>
      </c>
    </row>
    <row r="556" spans="1:5" ht="14.25" customHeight="1">
      <c r="A556" s="13">
        <v>1203</v>
      </c>
      <c r="B556" s="13">
        <v>141791</v>
      </c>
      <c r="C556" s="14">
        <v>44739</v>
      </c>
      <c r="D556" s="15">
        <v>52</v>
      </c>
      <c r="E556" t="str">
        <f t="shared" si="8"/>
        <v>1203-141791-44739</v>
      </c>
    </row>
    <row r="557" spans="1:5" ht="14.25" customHeight="1">
      <c r="A557" s="13">
        <v>1203</v>
      </c>
      <c r="B557" s="13">
        <v>141791</v>
      </c>
      <c r="C557" s="14">
        <v>44746</v>
      </c>
      <c r="D557" s="15">
        <v>24</v>
      </c>
      <c r="E557" t="str">
        <f t="shared" si="8"/>
        <v>1203-141791-44746</v>
      </c>
    </row>
    <row r="558" spans="1:5" ht="14.25" customHeight="1">
      <c r="A558" s="13">
        <v>1203</v>
      </c>
      <c r="B558" s="13">
        <v>141791</v>
      </c>
      <c r="C558" s="14">
        <v>44753</v>
      </c>
      <c r="D558" s="15">
        <v>65</v>
      </c>
      <c r="E558" t="str">
        <f t="shared" si="8"/>
        <v>1203-141791-44753</v>
      </c>
    </row>
    <row r="559" spans="1:5" ht="14.25" customHeight="1">
      <c r="A559" s="13">
        <v>1203</v>
      </c>
      <c r="B559" s="13">
        <v>141791</v>
      </c>
      <c r="C559" s="14">
        <v>44760</v>
      </c>
      <c r="D559" s="15">
        <v>25</v>
      </c>
      <c r="E559" t="str">
        <f t="shared" si="8"/>
        <v>1203-141791-44760</v>
      </c>
    </row>
    <row r="560" spans="1:5" ht="14.25" customHeight="1">
      <c r="A560" s="13">
        <v>1203</v>
      </c>
      <c r="B560" s="13">
        <v>141791</v>
      </c>
      <c r="C560" s="14">
        <v>44767</v>
      </c>
      <c r="D560" s="15">
        <v>24</v>
      </c>
      <c r="E560" t="str">
        <f t="shared" si="8"/>
        <v>1203-141791-44767</v>
      </c>
    </row>
    <row r="561" spans="1:5" ht="14.25" customHeight="1">
      <c r="A561" s="13">
        <v>1203</v>
      </c>
      <c r="B561" s="13">
        <v>141791</v>
      </c>
      <c r="C561" s="14">
        <v>44774</v>
      </c>
      <c r="D561" s="15">
        <v>32</v>
      </c>
      <c r="E561" t="str">
        <f t="shared" si="8"/>
        <v>1203-141791-44774</v>
      </c>
    </row>
    <row r="562" spans="1:5" ht="14.25" customHeight="1">
      <c r="A562" s="13">
        <v>1203</v>
      </c>
      <c r="B562" s="13">
        <v>141791</v>
      </c>
      <c r="C562" s="14">
        <v>44781</v>
      </c>
      <c r="D562" s="15">
        <v>54</v>
      </c>
      <c r="E562" t="str">
        <f t="shared" si="8"/>
        <v>1203-141791-44781</v>
      </c>
    </row>
    <row r="563" spans="1:5" ht="14.25" customHeight="1">
      <c r="A563" s="13">
        <v>1203</v>
      </c>
      <c r="B563" s="13">
        <v>141791</v>
      </c>
      <c r="C563" s="14">
        <v>44788</v>
      </c>
      <c r="D563" s="15">
        <v>52</v>
      </c>
      <c r="E563" t="str">
        <f t="shared" si="8"/>
        <v>1203-141791-44788</v>
      </c>
    </row>
    <row r="564" spans="1:5" ht="14.25" customHeight="1">
      <c r="A564" s="13">
        <v>1203</v>
      </c>
      <c r="B564" s="13">
        <v>141846</v>
      </c>
      <c r="C564" s="14">
        <v>44739</v>
      </c>
      <c r="D564" s="15">
        <v>10</v>
      </c>
      <c r="E564" t="str">
        <f t="shared" si="8"/>
        <v>1203-141846-44739</v>
      </c>
    </row>
    <row r="565" spans="1:5" ht="14.25" customHeight="1">
      <c r="A565" s="13">
        <v>1203</v>
      </c>
      <c r="B565" s="13">
        <v>141846</v>
      </c>
      <c r="C565" s="14">
        <v>44746</v>
      </c>
      <c r="D565" s="15">
        <v>15</v>
      </c>
      <c r="E565" t="str">
        <f t="shared" si="8"/>
        <v>1203-141846-44746</v>
      </c>
    </row>
    <row r="566" spans="1:5" ht="14.25" customHeight="1">
      <c r="A566" s="13">
        <v>1203</v>
      </c>
      <c r="B566" s="13">
        <v>141846</v>
      </c>
      <c r="C566" s="14">
        <v>44753</v>
      </c>
      <c r="D566" s="15">
        <v>46</v>
      </c>
      <c r="E566" t="str">
        <f t="shared" si="8"/>
        <v>1203-141846-44753</v>
      </c>
    </row>
    <row r="567" spans="1:5" ht="14.25" customHeight="1">
      <c r="A567" s="13">
        <v>1203</v>
      </c>
      <c r="B567" s="13">
        <v>141846</v>
      </c>
      <c r="C567" s="14">
        <v>44760</v>
      </c>
      <c r="D567" s="15">
        <v>39</v>
      </c>
      <c r="E567" t="str">
        <f t="shared" si="8"/>
        <v>1203-141846-44760</v>
      </c>
    </row>
    <row r="568" spans="1:5" ht="14.25" customHeight="1">
      <c r="A568" s="13">
        <v>1203</v>
      </c>
      <c r="B568" s="13">
        <v>141846</v>
      </c>
      <c r="C568" s="14">
        <v>44767</v>
      </c>
      <c r="D568" s="15">
        <v>18</v>
      </c>
      <c r="E568" t="str">
        <f t="shared" si="8"/>
        <v>1203-141846-44767</v>
      </c>
    </row>
    <row r="569" spans="1:5" ht="14.25" customHeight="1">
      <c r="A569" s="13">
        <v>1203</v>
      </c>
      <c r="B569" s="13">
        <v>141846</v>
      </c>
      <c r="C569" s="14">
        <v>44774</v>
      </c>
      <c r="D569" s="15">
        <v>46</v>
      </c>
      <c r="E569" t="str">
        <f t="shared" si="8"/>
        <v>1203-141846-44774</v>
      </c>
    </row>
    <row r="570" spans="1:5" ht="14.25" customHeight="1">
      <c r="A570" s="13">
        <v>1203</v>
      </c>
      <c r="B570" s="13">
        <v>141846</v>
      </c>
      <c r="C570" s="14">
        <v>44781</v>
      </c>
      <c r="D570" s="15">
        <v>44</v>
      </c>
      <c r="E570" t="str">
        <f t="shared" si="8"/>
        <v>1203-141846-44781</v>
      </c>
    </row>
    <row r="571" spans="1:5" ht="14.25" customHeight="1">
      <c r="A571" s="13">
        <v>1203</v>
      </c>
      <c r="B571" s="13">
        <v>141846</v>
      </c>
      <c r="C571" s="14">
        <v>44788</v>
      </c>
      <c r="D571" s="15">
        <v>11</v>
      </c>
      <c r="E571" t="str">
        <f t="shared" si="8"/>
        <v>1203-141846-44788</v>
      </c>
    </row>
    <row r="572" spans="1:5" ht="14.25" customHeight="1">
      <c r="A572" s="13">
        <v>1203</v>
      </c>
      <c r="B572" s="13">
        <v>141967</v>
      </c>
      <c r="C572" s="14">
        <v>44739</v>
      </c>
      <c r="D572" s="15">
        <v>82</v>
      </c>
      <c r="E572" t="str">
        <f t="shared" si="8"/>
        <v>1203-141967-44739</v>
      </c>
    </row>
    <row r="573" spans="1:5" ht="14.25" customHeight="1">
      <c r="A573" s="13">
        <v>1203</v>
      </c>
      <c r="B573" s="13">
        <v>141967</v>
      </c>
      <c r="C573" s="14">
        <v>44746</v>
      </c>
      <c r="D573" s="15">
        <v>36</v>
      </c>
      <c r="E573" t="str">
        <f t="shared" si="8"/>
        <v>1203-141967-44746</v>
      </c>
    </row>
    <row r="574" spans="1:5" ht="14.25" customHeight="1">
      <c r="A574" s="13">
        <v>1203</v>
      </c>
      <c r="B574" s="13">
        <v>141967</v>
      </c>
      <c r="C574" s="14">
        <v>44753</v>
      </c>
      <c r="D574" s="15">
        <v>107</v>
      </c>
      <c r="E574" t="str">
        <f t="shared" si="8"/>
        <v>1203-141967-44753</v>
      </c>
    </row>
    <row r="575" spans="1:5" ht="14.25" customHeight="1">
      <c r="A575" s="13">
        <v>1203</v>
      </c>
      <c r="B575" s="13">
        <v>141967</v>
      </c>
      <c r="C575" s="14">
        <v>44760</v>
      </c>
      <c r="D575" s="15">
        <v>111</v>
      </c>
      <c r="E575" t="str">
        <f t="shared" si="8"/>
        <v>1203-141967-44760</v>
      </c>
    </row>
    <row r="576" spans="1:5" ht="14.25" customHeight="1">
      <c r="A576" s="13">
        <v>1203</v>
      </c>
      <c r="B576" s="13">
        <v>141967</v>
      </c>
      <c r="C576" s="14">
        <v>44767</v>
      </c>
      <c r="D576" s="15">
        <v>27</v>
      </c>
      <c r="E576" t="str">
        <f t="shared" si="8"/>
        <v>1203-141967-44767</v>
      </c>
    </row>
    <row r="577" spans="1:5" ht="14.25" customHeight="1">
      <c r="A577" s="13">
        <v>1203</v>
      </c>
      <c r="B577" s="13">
        <v>141967</v>
      </c>
      <c r="C577" s="14">
        <v>44774</v>
      </c>
      <c r="D577" s="15">
        <v>33</v>
      </c>
      <c r="E577" t="str">
        <f t="shared" si="8"/>
        <v>1203-141967-44774</v>
      </c>
    </row>
    <row r="578" spans="1:5" ht="14.25" customHeight="1">
      <c r="A578" s="13">
        <v>1203</v>
      </c>
      <c r="B578" s="13">
        <v>141967</v>
      </c>
      <c r="C578" s="14">
        <v>44781</v>
      </c>
      <c r="D578" s="15">
        <v>42</v>
      </c>
      <c r="E578" t="str">
        <f t="shared" si="8"/>
        <v>1203-141967-44781</v>
      </c>
    </row>
    <row r="579" spans="1:5" ht="14.25" customHeight="1">
      <c r="A579" s="13">
        <v>1203</v>
      </c>
      <c r="B579" s="13">
        <v>141967</v>
      </c>
      <c r="C579" s="14">
        <v>44788</v>
      </c>
      <c r="D579" s="15">
        <v>93</v>
      </c>
      <c r="E579" t="str">
        <f t="shared" ref="E579:E642" si="9">A579&amp;"-"&amp;B579&amp;"-"&amp;INT(C579)</f>
        <v>1203-141967-44788</v>
      </c>
    </row>
    <row r="580" spans="1:5" ht="14.25" customHeight="1">
      <c r="A580" s="13">
        <v>1203</v>
      </c>
      <c r="B580" s="13">
        <v>142194</v>
      </c>
      <c r="C580" s="14">
        <v>44739</v>
      </c>
      <c r="D580" s="15">
        <v>8</v>
      </c>
      <c r="E580" t="str">
        <f t="shared" si="9"/>
        <v>1203-142194-44739</v>
      </c>
    </row>
    <row r="581" spans="1:5" ht="14.25" customHeight="1">
      <c r="A581" s="13">
        <v>1203</v>
      </c>
      <c r="B581" s="13">
        <v>142194</v>
      </c>
      <c r="C581" s="14">
        <v>44746</v>
      </c>
      <c r="D581" s="15">
        <v>11</v>
      </c>
      <c r="E581" t="str">
        <f t="shared" si="9"/>
        <v>1203-142194-44746</v>
      </c>
    </row>
    <row r="582" spans="1:5" ht="14.25" customHeight="1">
      <c r="A582" s="13">
        <v>1203</v>
      </c>
      <c r="B582" s="13">
        <v>142194</v>
      </c>
      <c r="C582" s="14">
        <v>44753</v>
      </c>
      <c r="D582" s="15">
        <v>3</v>
      </c>
      <c r="E582" t="str">
        <f t="shared" si="9"/>
        <v>1203-142194-44753</v>
      </c>
    </row>
    <row r="583" spans="1:5" ht="14.25" customHeight="1">
      <c r="A583" s="13">
        <v>1203</v>
      </c>
      <c r="B583" s="13">
        <v>142194</v>
      </c>
      <c r="C583" s="14">
        <v>44760</v>
      </c>
      <c r="D583" s="15">
        <v>12</v>
      </c>
      <c r="E583" t="str">
        <f t="shared" si="9"/>
        <v>1203-142194-44760</v>
      </c>
    </row>
    <row r="584" spans="1:5" ht="14.25" customHeight="1">
      <c r="A584" s="13">
        <v>1203</v>
      </c>
      <c r="B584" s="13">
        <v>142194</v>
      </c>
      <c r="C584" s="14">
        <v>44767</v>
      </c>
      <c r="D584" s="15">
        <v>1</v>
      </c>
      <c r="E584" t="str">
        <f t="shared" si="9"/>
        <v>1203-142194-44767</v>
      </c>
    </row>
    <row r="585" spans="1:5" ht="14.25" customHeight="1">
      <c r="A585" s="13">
        <v>1203</v>
      </c>
      <c r="B585" s="13">
        <v>142194</v>
      </c>
      <c r="C585" s="14">
        <v>44774</v>
      </c>
      <c r="D585" s="15">
        <v>8</v>
      </c>
      <c r="E585" t="str">
        <f t="shared" si="9"/>
        <v>1203-142194-44774</v>
      </c>
    </row>
    <row r="586" spans="1:5" ht="14.25" customHeight="1">
      <c r="A586" s="13">
        <v>1203</v>
      </c>
      <c r="B586" s="13">
        <v>142194</v>
      </c>
      <c r="C586" s="14">
        <v>44781</v>
      </c>
      <c r="D586" s="15">
        <v>9</v>
      </c>
      <c r="E586" t="str">
        <f t="shared" si="9"/>
        <v>1203-142194-44781</v>
      </c>
    </row>
    <row r="587" spans="1:5" ht="14.25" customHeight="1">
      <c r="A587" s="13">
        <v>1203</v>
      </c>
      <c r="B587" s="13">
        <v>142194</v>
      </c>
      <c r="C587" s="14">
        <v>44788</v>
      </c>
      <c r="D587" s="15">
        <v>-2</v>
      </c>
      <c r="E587" t="str">
        <f t="shared" si="9"/>
        <v>1203-142194-44788</v>
      </c>
    </row>
    <row r="588" spans="1:5" ht="14.25" customHeight="1">
      <c r="A588" s="13">
        <v>1203</v>
      </c>
      <c r="B588" s="13">
        <v>149729</v>
      </c>
      <c r="C588" s="14">
        <v>44739</v>
      </c>
      <c r="D588" s="15">
        <v>86</v>
      </c>
      <c r="E588" t="str">
        <f t="shared" si="9"/>
        <v>1203-149729-44739</v>
      </c>
    </row>
    <row r="589" spans="1:5" ht="14.25" customHeight="1">
      <c r="A589" s="13">
        <v>1203</v>
      </c>
      <c r="B589" s="13">
        <v>149729</v>
      </c>
      <c r="C589" s="14">
        <v>44746</v>
      </c>
      <c r="D589" s="15">
        <v>75</v>
      </c>
      <c r="E589" t="str">
        <f t="shared" si="9"/>
        <v>1203-149729-44746</v>
      </c>
    </row>
    <row r="590" spans="1:5" ht="14.25" customHeight="1">
      <c r="A590" s="13">
        <v>1203</v>
      </c>
      <c r="B590" s="13">
        <v>149729</v>
      </c>
      <c r="C590" s="14">
        <v>44753</v>
      </c>
      <c r="D590" s="15">
        <v>78</v>
      </c>
      <c r="E590" t="str">
        <f t="shared" si="9"/>
        <v>1203-149729-44753</v>
      </c>
    </row>
    <row r="591" spans="1:5" ht="14.25" customHeight="1">
      <c r="A591" s="13">
        <v>1203</v>
      </c>
      <c r="B591" s="13">
        <v>149729</v>
      </c>
      <c r="C591" s="14">
        <v>44760</v>
      </c>
      <c r="D591" s="15">
        <v>32</v>
      </c>
      <c r="E591" t="str">
        <f t="shared" si="9"/>
        <v>1203-149729-44760</v>
      </c>
    </row>
    <row r="592" spans="1:5" ht="14.25" customHeight="1">
      <c r="A592" s="13">
        <v>1203</v>
      </c>
      <c r="B592" s="13">
        <v>149729</v>
      </c>
      <c r="C592" s="14">
        <v>44767</v>
      </c>
      <c r="D592" s="15">
        <v>32</v>
      </c>
      <c r="E592" t="str">
        <f t="shared" si="9"/>
        <v>1203-149729-44767</v>
      </c>
    </row>
    <row r="593" spans="1:5" ht="14.25" customHeight="1">
      <c r="A593" s="13">
        <v>1203</v>
      </c>
      <c r="B593" s="13">
        <v>149729</v>
      </c>
      <c r="C593" s="14">
        <v>44774</v>
      </c>
      <c r="D593" s="15">
        <v>76</v>
      </c>
      <c r="E593" t="str">
        <f t="shared" si="9"/>
        <v>1203-149729-44774</v>
      </c>
    </row>
    <row r="594" spans="1:5" ht="14.25" customHeight="1">
      <c r="A594" s="13">
        <v>1203</v>
      </c>
      <c r="B594" s="13">
        <v>149729</v>
      </c>
      <c r="C594" s="14">
        <v>44781</v>
      </c>
      <c r="D594" s="15">
        <v>34</v>
      </c>
      <c r="E594" t="str">
        <f t="shared" si="9"/>
        <v>1203-149729-44781</v>
      </c>
    </row>
    <row r="595" spans="1:5" ht="14.25" customHeight="1">
      <c r="A595" s="13">
        <v>1203</v>
      </c>
      <c r="B595" s="13">
        <v>149729</v>
      </c>
      <c r="C595" s="14">
        <v>44788</v>
      </c>
      <c r="D595" s="15">
        <v>36</v>
      </c>
      <c r="E595" t="str">
        <f t="shared" si="9"/>
        <v>1203-149729-44788</v>
      </c>
    </row>
    <row r="596" spans="1:5" ht="14.25" customHeight="1">
      <c r="A596" s="13">
        <v>1203</v>
      </c>
      <c r="B596" s="13">
        <v>149779</v>
      </c>
      <c r="C596" s="14">
        <v>44739</v>
      </c>
      <c r="D596" s="15">
        <v>110</v>
      </c>
      <c r="E596" t="str">
        <f t="shared" si="9"/>
        <v>1203-149779-44739</v>
      </c>
    </row>
    <row r="597" spans="1:5" ht="14.25" customHeight="1">
      <c r="A597" s="13">
        <v>1203</v>
      </c>
      <c r="B597" s="13">
        <v>149779</v>
      </c>
      <c r="C597" s="14">
        <v>44746</v>
      </c>
      <c r="D597" s="15">
        <v>290</v>
      </c>
      <c r="E597" t="str">
        <f t="shared" si="9"/>
        <v>1203-149779-44746</v>
      </c>
    </row>
    <row r="598" spans="1:5" ht="14.25" customHeight="1">
      <c r="A598" s="13">
        <v>1203</v>
      </c>
      <c r="B598" s="13">
        <v>149779</v>
      </c>
      <c r="C598" s="14">
        <v>44753</v>
      </c>
      <c r="D598" s="15">
        <v>270</v>
      </c>
      <c r="E598" t="str">
        <f t="shared" si="9"/>
        <v>1203-149779-44753</v>
      </c>
    </row>
    <row r="599" spans="1:5" ht="14.25" customHeight="1">
      <c r="A599" s="13">
        <v>1203</v>
      </c>
      <c r="B599" s="13">
        <v>149779</v>
      </c>
      <c r="C599" s="14">
        <v>44760</v>
      </c>
      <c r="D599" s="15">
        <v>106</v>
      </c>
      <c r="E599" t="str">
        <f t="shared" si="9"/>
        <v>1203-149779-44760</v>
      </c>
    </row>
    <row r="600" spans="1:5" ht="14.25" customHeight="1">
      <c r="A600" s="13">
        <v>1203</v>
      </c>
      <c r="B600" s="13">
        <v>149779</v>
      </c>
      <c r="C600" s="14">
        <v>44767</v>
      </c>
      <c r="D600" s="15">
        <v>248</v>
      </c>
      <c r="E600" t="str">
        <f t="shared" si="9"/>
        <v>1203-149779-44767</v>
      </c>
    </row>
    <row r="601" spans="1:5" ht="14.25" customHeight="1">
      <c r="A601" s="13">
        <v>1203</v>
      </c>
      <c r="B601" s="13">
        <v>149779</v>
      </c>
      <c r="C601" s="14">
        <v>44774</v>
      </c>
      <c r="D601" s="15">
        <v>259</v>
      </c>
      <c r="E601" t="str">
        <f t="shared" si="9"/>
        <v>1203-149779-44774</v>
      </c>
    </row>
    <row r="602" spans="1:5" ht="14.25" customHeight="1">
      <c r="A602" s="13">
        <v>1203</v>
      </c>
      <c r="B602" s="13">
        <v>149779</v>
      </c>
      <c r="C602" s="14">
        <v>44781</v>
      </c>
      <c r="D602" s="15">
        <v>295</v>
      </c>
      <c r="E602" t="str">
        <f t="shared" si="9"/>
        <v>1203-149779-44781</v>
      </c>
    </row>
    <row r="603" spans="1:5" ht="14.25" customHeight="1">
      <c r="A603" s="13">
        <v>1203</v>
      </c>
      <c r="B603" s="13">
        <v>149779</v>
      </c>
      <c r="C603" s="14">
        <v>44788</v>
      </c>
      <c r="D603" s="15">
        <v>381</v>
      </c>
      <c r="E603" t="str">
        <f t="shared" si="9"/>
        <v>1203-149779-44788</v>
      </c>
    </row>
    <row r="604" spans="1:5" ht="14.25" customHeight="1">
      <c r="A604" s="13">
        <v>1203</v>
      </c>
      <c r="B604" s="13">
        <v>189933</v>
      </c>
      <c r="C604" s="14">
        <v>44739</v>
      </c>
      <c r="D604" s="15">
        <v>554</v>
      </c>
      <c r="E604" t="str">
        <f t="shared" si="9"/>
        <v>1203-189933-44739</v>
      </c>
    </row>
    <row r="605" spans="1:5" ht="14.25" customHeight="1">
      <c r="A605" s="13">
        <v>1203</v>
      </c>
      <c r="B605" s="13">
        <v>189933</v>
      </c>
      <c r="C605" s="14">
        <v>44746</v>
      </c>
      <c r="D605" s="15">
        <v>570</v>
      </c>
      <c r="E605" t="str">
        <f t="shared" si="9"/>
        <v>1203-189933-44746</v>
      </c>
    </row>
    <row r="606" spans="1:5" ht="14.25" customHeight="1">
      <c r="A606" s="13">
        <v>1203</v>
      </c>
      <c r="B606" s="13">
        <v>189933</v>
      </c>
      <c r="C606" s="14">
        <v>44753</v>
      </c>
      <c r="D606" s="15">
        <v>528</v>
      </c>
      <c r="E606" t="str">
        <f t="shared" si="9"/>
        <v>1203-189933-44753</v>
      </c>
    </row>
    <row r="607" spans="1:5" ht="14.25" customHeight="1">
      <c r="A607" s="13">
        <v>1203</v>
      </c>
      <c r="B607" s="13">
        <v>189933</v>
      </c>
      <c r="C607" s="14">
        <v>44760</v>
      </c>
      <c r="D607" s="15">
        <v>158</v>
      </c>
      <c r="E607" t="str">
        <f t="shared" si="9"/>
        <v>1203-189933-44760</v>
      </c>
    </row>
    <row r="608" spans="1:5" ht="14.25" customHeight="1">
      <c r="A608" s="13">
        <v>1203</v>
      </c>
      <c r="B608" s="13">
        <v>189933</v>
      </c>
      <c r="C608" s="14">
        <v>44767</v>
      </c>
      <c r="D608" s="15">
        <v>374</v>
      </c>
      <c r="E608" t="str">
        <f t="shared" si="9"/>
        <v>1203-189933-44767</v>
      </c>
    </row>
    <row r="609" spans="1:5" ht="14.25" customHeight="1">
      <c r="A609" s="13">
        <v>1203</v>
      </c>
      <c r="B609" s="13">
        <v>189933</v>
      </c>
      <c r="C609" s="14">
        <v>44774</v>
      </c>
      <c r="D609" s="15">
        <v>650</v>
      </c>
      <c r="E609" t="str">
        <f t="shared" si="9"/>
        <v>1203-189933-44774</v>
      </c>
    </row>
    <row r="610" spans="1:5" ht="14.25" customHeight="1">
      <c r="A610" s="13">
        <v>1203</v>
      </c>
      <c r="B610" s="13">
        <v>189933</v>
      </c>
      <c r="C610" s="14">
        <v>44781</v>
      </c>
      <c r="D610" s="15">
        <v>728</v>
      </c>
      <c r="E610" t="str">
        <f t="shared" si="9"/>
        <v>1203-189933-44781</v>
      </c>
    </row>
    <row r="611" spans="1:5" ht="14.25" customHeight="1">
      <c r="A611" s="13">
        <v>1203</v>
      </c>
      <c r="B611" s="13">
        <v>189933</v>
      </c>
      <c r="C611" s="14">
        <v>44788</v>
      </c>
      <c r="D611" s="15">
        <v>154</v>
      </c>
      <c r="E611" t="str">
        <f t="shared" si="9"/>
        <v>1203-189933-44788</v>
      </c>
    </row>
    <row r="612" spans="1:5" ht="14.25" customHeight="1">
      <c r="A612" s="13">
        <v>1203</v>
      </c>
      <c r="B612" s="13">
        <v>202577</v>
      </c>
      <c r="C612" s="14">
        <v>44739</v>
      </c>
      <c r="D612" s="15">
        <v>23</v>
      </c>
      <c r="E612" t="str">
        <f t="shared" si="9"/>
        <v>1203-202577-44739</v>
      </c>
    </row>
    <row r="613" spans="1:5" ht="14.25" customHeight="1">
      <c r="A613" s="13">
        <v>1203</v>
      </c>
      <c r="B613" s="13">
        <v>202577</v>
      </c>
      <c r="C613" s="14">
        <v>44746</v>
      </c>
      <c r="D613" s="15">
        <v>76</v>
      </c>
      <c r="E613" t="str">
        <f t="shared" si="9"/>
        <v>1203-202577-44746</v>
      </c>
    </row>
    <row r="614" spans="1:5" ht="14.25" customHeight="1">
      <c r="A614" s="16">
        <v>1203</v>
      </c>
      <c r="B614" s="13">
        <v>202577</v>
      </c>
      <c r="C614" s="14">
        <v>44753</v>
      </c>
      <c r="D614" s="15">
        <v>100</v>
      </c>
      <c r="E614" t="str">
        <f t="shared" si="9"/>
        <v>1203-202577-44753</v>
      </c>
    </row>
    <row r="615" spans="1:5" ht="14.25" customHeight="1">
      <c r="A615" s="13">
        <v>1203</v>
      </c>
      <c r="B615" s="13">
        <v>202577</v>
      </c>
      <c r="C615" s="14">
        <v>44760</v>
      </c>
      <c r="D615" s="15">
        <v>61</v>
      </c>
      <c r="E615" t="str">
        <f t="shared" si="9"/>
        <v>1203-202577-44760</v>
      </c>
    </row>
    <row r="616" spans="1:5" ht="14.25" customHeight="1">
      <c r="A616" s="13">
        <v>1203</v>
      </c>
      <c r="B616" s="13">
        <v>202577</v>
      </c>
      <c r="C616" s="14">
        <v>44767</v>
      </c>
      <c r="D616" s="15">
        <v>25</v>
      </c>
      <c r="E616" t="str">
        <f t="shared" si="9"/>
        <v>1203-202577-44767</v>
      </c>
    </row>
    <row r="617" spans="1:5" ht="14.25" customHeight="1">
      <c r="A617" s="13">
        <v>1203</v>
      </c>
      <c r="B617" s="13">
        <v>202577</v>
      </c>
      <c r="C617" s="14">
        <v>44774</v>
      </c>
      <c r="D617" s="15">
        <v>97</v>
      </c>
      <c r="E617" t="str">
        <f t="shared" si="9"/>
        <v>1203-202577-44774</v>
      </c>
    </row>
    <row r="618" spans="1:5" ht="14.25" customHeight="1">
      <c r="A618" s="13">
        <v>1203</v>
      </c>
      <c r="B618" s="13">
        <v>202577</v>
      </c>
      <c r="C618" s="14">
        <v>44781</v>
      </c>
      <c r="D618" s="15">
        <v>69</v>
      </c>
      <c r="E618" t="str">
        <f t="shared" si="9"/>
        <v>1203-202577-44781</v>
      </c>
    </row>
    <row r="619" spans="1:5" ht="14.25" customHeight="1">
      <c r="A619" s="13">
        <v>1203</v>
      </c>
      <c r="B619" s="13">
        <v>202577</v>
      </c>
      <c r="C619" s="14">
        <v>44788</v>
      </c>
      <c r="D619" s="15">
        <v>64</v>
      </c>
      <c r="E619" t="str">
        <f t="shared" si="9"/>
        <v>1203-202577-44788</v>
      </c>
    </row>
    <row r="620" spans="1:5" ht="14.25" customHeight="1">
      <c r="A620" s="13">
        <v>1203</v>
      </c>
      <c r="B620" s="13">
        <v>234334</v>
      </c>
      <c r="C620" s="14">
        <v>44739</v>
      </c>
      <c r="D620" s="15">
        <v>148</v>
      </c>
      <c r="E620" t="str">
        <f t="shared" si="9"/>
        <v>1203-234334-44739</v>
      </c>
    </row>
    <row r="621" spans="1:5" ht="14.25" customHeight="1">
      <c r="A621" s="13">
        <v>1203</v>
      </c>
      <c r="B621" s="13">
        <v>234334</v>
      </c>
      <c r="C621" s="14">
        <v>44746</v>
      </c>
      <c r="D621" s="15">
        <v>154</v>
      </c>
      <c r="E621" t="str">
        <f t="shared" si="9"/>
        <v>1203-234334-44746</v>
      </c>
    </row>
    <row r="622" spans="1:5" ht="14.25" customHeight="1">
      <c r="A622" s="13">
        <v>1203</v>
      </c>
      <c r="B622" s="13">
        <v>234334</v>
      </c>
      <c r="C622" s="14">
        <v>44753</v>
      </c>
      <c r="D622" s="15">
        <v>106</v>
      </c>
      <c r="E622" t="str">
        <f t="shared" si="9"/>
        <v>1203-234334-44753</v>
      </c>
    </row>
    <row r="623" spans="1:5" ht="14.25" customHeight="1">
      <c r="A623" s="13">
        <v>1203</v>
      </c>
      <c r="B623" s="13">
        <v>234334</v>
      </c>
      <c r="C623" s="14">
        <v>44760</v>
      </c>
      <c r="D623" s="15">
        <v>55</v>
      </c>
      <c r="E623" t="str">
        <f t="shared" si="9"/>
        <v>1203-234334-44760</v>
      </c>
    </row>
    <row r="624" spans="1:5" ht="14.25" customHeight="1">
      <c r="A624" s="13">
        <v>1203</v>
      </c>
      <c r="B624" s="13">
        <v>234334</v>
      </c>
      <c r="C624" s="14">
        <v>44767</v>
      </c>
      <c r="D624" s="15">
        <v>156</v>
      </c>
      <c r="E624" t="str">
        <f t="shared" si="9"/>
        <v>1203-234334-44767</v>
      </c>
    </row>
    <row r="625" spans="1:5" ht="14.25" customHeight="1">
      <c r="A625" s="13">
        <v>1203</v>
      </c>
      <c r="B625" s="13">
        <v>234334</v>
      </c>
      <c r="C625" s="14">
        <v>44774</v>
      </c>
      <c r="D625" s="15">
        <v>137</v>
      </c>
      <c r="E625" t="str">
        <f t="shared" si="9"/>
        <v>1203-234334-44774</v>
      </c>
    </row>
    <row r="626" spans="1:5" ht="14.25" customHeight="1">
      <c r="A626" s="13">
        <v>1203</v>
      </c>
      <c r="B626" s="13">
        <v>234334</v>
      </c>
      <c r="C626" s="14">
        <v>44781</v>
      </c>
      <c r="D626" s="15">
        <v>113</v>
      </c>
      <c r="E626" t="str">
        <f t="shared" si="9"/>
        <v>1203-234334-44781</v>
      </c>
    </row>
    <row r="627" spans="1:5" ht="14.25" customHeight="1">
      <c r="A627" s="13">
        <v>1203</v>
      </c>
      <c r="B627" s="13">
        <v>234334</v>
      </c>
      <c r="C627" s="14">
        <v>44788</v>
      </c>
      <c r="D627" s="15">
        <v>56</v>
      </c>
      <c r="E627" t="str">
        <f t="shared" si="9"/>
        <v>1203-234334-44788</v>
      </c>
    </row>
    <row r="628" spans="1:5" ht="14.25" customHeight="1">
      <c r="A628" s="13">
        <v>1203</v>
      </c>
      <c r="B628" s="13">
        <v>249444</v>
      </c>
      <c r="C628" s="14">
        <v>44739</v>
      </c>
      <c r="D628" s="15">
        <v>566</v>
      </c>
      <c r="E628" t="str">
        <f t="shared" si="9"/>
        <v>1203-249444-44739</v>
      </c>
    </row>
    <row r="629" spans="1:5" ht="14.25" customHeight="1">
      <c r="A629" s="13">
        <v>1203</v>
      </c>
      <c r="B629" s="13">
        <v>249444</v>
      </c>
      <c r="C629" s="14">
        <v>44746</v>
      </c>
      <c r="D629" s="15">
        <v>221</v>
      </c>
      <c r="E629" t="str">
        <f t="shared" si="9"/>
        <v>1203-249444-44746</v>
      </c>
    </row>
    <row r="630" spans="1:5" ht="14.25" customHeight="1">
      <c r="A630" s="13">
        <v>1203</v>
      </c>
      <c r="B630" s="13">
        <v>249444</v>
      </c>
      <c r="C630" s="14">
        <v>44753</v>
      </c>
      <c r="D630" s="15">
        <v>459</v>
      </c>
      <c r="E630" t="str">
        <f t="shared" si="9"/>
        <v>1203-249444-44753</v>
      </c>
    </row>
    <row r="631" spans="1:5" ht="14.25" customHeight="1">
      <c r="A631" s="13">
        <v>1203</v>
      </c>
      <c r="B631" s="13">
        <v>249444</v>
      </c>
      <c r="C631" s="14">
        <v>44760</v>
      </c>
      <c r="D631" s="15">
        <v>216</v>
      </c>
      <c r="E631" t="str">
        <f t="shared" si="9"/>
        <v>1203-249444-44760</v>
      </c>
    </row>
    <row r="632" spans="1:5" ht="14.25" customHeight="1">
      <c r="A632" s="13">
        <v>1203</v>
      </c>
      <c r="B632" s="13">
        <v>249444</v>
      </c>
      <c r="C632" s="14">
        <v>44767</v>
      </c>
      <c r="D632" s="15">
        <v>334</v>
      </c>
      <c r="E632" t="str">
        <f t="shared" si="9"/>
        <v>1203-249444-44767</v>
      </c>
    </row>
    <row r="633" spans="1:5" ht="14.25" customHeight="1">
      <c r="A633" s="13">
        <v>1203</v>
      </c>
      <c r="B633" s="13">
        <v>249444</v>
      </c>
      <c r="C633" s="14">
        <v>44774</v>
      </c>
      <c r="D633" s="15">
        <v>221</v>
      </c>
      <c r="E633" t="str">
        <f t="shared" si="9"/>
        <v>1203-249444-44774</v>
      </c>
    </row>
    <row r="634" spans="1:5" ht="14.25" customHeight="1">
      <c r="A634" s="13">
        <v>1203</v>
      </c>
      <c r="B634" s="13">
        <v>249444</v>
      </c>
      <c r="C634" s="14">
        <v>44781</v>
      </c>
      <c r="D634" s="15">
        <v>219</v>
      </c>
      <c r="E634" t="str">
        <f t="shared" si="9"/>
        <v>1203-249444-44781</v>
      </c>
    </row>
    <row r="635" spans="1:5" ht="14.25" customHeight="1">
      <c r="A635" s="13">
        <v>1203</v>
      </c>
      <c r="B635" s="13">
        <v>249444</v>
      </c>
      <c r="C635" s="14">
        <v>44788</v>
      </c>
      <c r="D635" s="15">
        <v>223</v>
      </c>
      <c r="E635" t="str">
        <f t="shared" si="9"/>
        <v>1203-249444-44788</v>
      </c>
    </row>
    <row r="636" spans="1:5" ht="14.25" customHeight="1">
      <c r="A636" s="13">
        <v>1203</v>
      </c>
      <c r="B636" s="13">
        <v>249795</v>
      </c>
      <c r="C636" s="14">
        <v>44739</v>
      </c>
      <c r="D636" s="15">
        <v>72</v>
      </c>
      <c r="E636" t="str">
        <f t="shared" si="9"/>
        <v>1203-249795-44739</v>
      </c>
    </row>
    <row r="637" spans="1:5" ht="14.25" customHeight="1">
      <c r="A637" s="13">
        <v>1203</v>
      </c>
      <c r="B637" s="13">
        <v>249795</v>
      </c>
      <c r="C637" s="14">
        <v>44746</v>
      </c>
      <c r="D637" s="15">
        <v>70</v>
      </c>
      <c r="E637" t="str">
        <f t="shared" si="9"/>
        <v>1203-249795-44746</v>
      </c>
    </row>
    <row r="638" spans="1:5" ht="14.25" customHeight="1">
      <c r="A638" s="13">
        <v>1203</v>
      </c>
      <c r="B638" s="13">
        <v>249795</v>
      </c>
      <c r="C638" s="14">
        <v>44753</v>
      </c>
      <c r="D638" s="15">
        <v>26</v>
      </c>
      <c r="E638" t="str">
        <f t="shared" si="9"/>
        <v>1203-249795-44753</v>
      </c>
    </row>
    <row r="639" spans="1:5" ht="14.25" customHeight="1">
      <c r="A639" s="13">
        <v>1203</v>
      </c>
      <c r="B639" s="13">
        <v>249795</v>
      </c>
      <c r="C639" s="14">
        <v>44760</v>
      </c>
      <c r="D639" s="15">
        <v>26</v>
      </c>
      <c r="E639" t="str">
        <f t="shared" si="9"/>
        <v>1203-249795-44760</v>
      </c>
    </row>
    <row r="640" spans="1:5" ht="14.25" customHeight="1">
      <c r="A640" s="13">
        <v>1203</v>
      </c>
      <c r="B640" s="13">
        <v>249795</v>
      </c>
      <c r="C640" s="14">
        <v>44767</v>
      </c>
      <c r="D640" s="15">
        <v>54</v>
      </c>
      <c r="E640" t="str">
        <f t="shared" si="9"/>
        <v>1203-249795-44767</v>
      </c>
    </row>
    <row r="641" spans="1:5" ht="14.25" customHeight="1">
      <c r="A641" s="13">
        <v>1203</v>
      </c>
      <c r="B641" s="13">
        <v>249795</v>
      </c>
      <c r="C641" s="14">
        <v>44774</v>
      </c>
      <c r="D641" s="15">
        <v>61</v>
      </c>
      <c r="E641" t="str">
        <f t="shared" si="9"/>
        <v>1203-249795-44774</v>
      </c>
    </row>
    <row r="642" spans="1:5" ht="14.25" customHeight="1">
      <c r="A642" s="13">
        <v>1203</v>
      </c>
      <c r="B642" s="13">
        <v>249795</v>
      </c>
      <c r="C642" s="14">
        <v>44781</v>
      </c>
      <c r="D642" s="15">
        <v>48</v>
      </c>
      <c r="E642" t="str">
        <f t="shared" si="9"/>
        <v>1203-249795-44781</v>
      </c>
    </row>
    <row r="643" spans="1:5" ht="14.25" customHeight="1">
      <c r="A643" s="13">
        <v>1203</v>
      </c>
      <c r="B643" s="13">
        <v>249795</v>
      </c>
      <c r="C643" s="14">
        <v>44788</v>
      </c>
      <c r="D643" s="15">
        <v>25</v>
      </c>
      <c r="E643" t="str">
        <f t="shared" ref="E643:E706" si="10">A643&amp;"-"&amp;B643&amp;"-"&amp;INT(C643)</f>
        <v>1203-249795-44788</v>
      </c>
    </row>
    <row r="644" spans="1:5" ht="14.25" customHeight="1">
      <c r="A644" s="13">
        <v>1203</v>
      </c>
      <c r="B644" s="13">
        <v>250979</v>
      </c>
      <c r="C644" s="14">
        <v>44739</v>
      </c>
      <c r="D644" s="15">
        <v>136</v>
      </c>
      <c r="E644" t="str">
        <f t="shared" si="10"/>
        <v>1203-250979-44739</v>
      </c>
    </row>
    <row r="645" spans="1:5" ht="14.25" customHeight="1">
      <c r="A645" s="13">
        <v>1203</v>
      </c>
      <c r="B645" s="13">
        <v>250979</v>
      </c>
      <c r="C645" s="14">
        <v>44746</v>
      </c>
      <c r="D645" s="15">
        <v>74</v>
      </c>
      <c r="E645" t="str">
        <f t="shared" si="10"/>
        <v>1203-250979-44746</v>
      </c>
    </row>
    <row r="646" spans="1:5" ht="14.25" customHeight="1">
      <c r="A646" s="13">
        <v>1203</v>
      </c>
      <c r="B646" s="13">
        <v>250979</v>
      </c>
      <c r="C646" s="14">
        <v>44753</v>
      </c>
      <c r="D646" s="15">
        <v>274</v>
      </c>
      <c r="E646" t="str">
        <f t="shared" si="10"/>
        <v>1203-250979-44753</v>
      </c>
    </row>
    <row r="647" spans="1:5" ht="14.25" customHeight="1">
      <c r="A647" s="13">
        <v>1203</v>
      </c>
      <c r="B647" s="13">
        <v>250979</v>
      </c>
      <c r="C647" s="14">
        <v>44760</v>
      </c>
      <c r="D647" s="15">
        <v>239</v>
      </c>
      <c r="E647" t="str">
        <f t="shared" si="10"/>
        <v>1203-250979-44760</v>
      </c>
    </row>
    <row r="648" spans="1:5" ht="14.25" customHeight="1">
      <c r="A648" s="13">
        <v>1203</v>
      </c>
      <c r="B648" s="13">
        <v>250979</v>
      </c>
      <c r="C648" s="14">
        <v>44767</v>
      </c>
      <c r="D648" s="15">
        <v>204</v>
      </c>
      <c r="E648" t="str">
        <f t="shared" si="10"/>
        <v>1203-250979-44767</v>
      </c>
    </row>
    <row r="649" spans="1:5" ht="14.25" customHeight="1">
      <c r="A649" s="13">
        <v>1203</v>
      </c>
      <c r="B649" s="13">
        <v>250979</v>
      </c>
      <c r="C649" s="14">
        <v>44774</v>
      </c>
      <c r="D649" s="15">
        <v>188</v>
      </c>
      <c r="E649" t="str">
        <f t="shared" si="10"/>
        <v>1203-250979-44774</v>
      </c>
    </row>
    <row r="650" spans="1:5" ht="14.25" customHeight="1">
      <c r="A650" s="13">
        <v>1203</v>
      </c>
      <c r="B650" s="13">
        <v>250979</v>
      </c>
      <c r="C650" s="14">
        <v>44781</v>
      </c>
      <c r="D650" s="15">
        <v>71</v>
      </c>
      <c r="E650" t="str">
        <f t="shared" si="10"/>
        <v>1203-250979-44781</v>
      </c>
    </row>
    <row r="651" spans="1:5" ht="14.25" customHeight="1">
      <c r="A651" s="13">
        <v>1203</v>
      </c>
      <c r="B651" s="13">
        <v>250979</v>
      </c>
      <c r="C651" s="14">
        <v>44788</v>
      </c>
      <c r="D651" s="15">
        <v>263</v>
      </c>
      <c r="E651" t="str">
        <f t="shared" si="10"/>
        <v>1203-250979-44788</v>
      </c>
    </row>
    <row r="652" spans="1:5" ht="14.25" customHeight="1">
      <c r="A652" s="13">
        <v>1203</v>
      </c>
      <c r="B652" s="13">
        <v>250981</v>
      </c>
      <c r="C652" s="14">
        <v>44739</v>
      </c>
      <c r="D652" s="15">
        <v>27</v>
      </c>
      <c r="E652" t="str">
        <f t="shared" si="10"/>
        <v>1203-250981-44739</v>
      </c>
    </row>
    <row r="653" spans="1:5" ht="14.25" customHeight="1">
      <c r="A653" s="13">
        <v>1203</v>
      </c>
      <c r="B653" s="13">
        <v>250981</v>
      </c>
      <c r="C653" s="14">
        <v>44746</v>
      </c>
      <c r="D653" s="15">
        <v>89</v>
      </c>
      <c r="E653" t="str">
        <f t="shared" si="10"/>
        <v>1203-250981-44746</v>
      </c>
    </row>
    <row r="654" spans="1:5" ht="14.25" customHeight="1">
      <c r="A654" s="13">
        <v>1203</v>
      </c>
      <c r="B654" s="13">
        <v>250981</v>
      </c>
      <c r="C654" s="14">
        <v>44753</v>
      </c>
      <c r="D654" s="15">
        <v>94</v>
      </c>
      <c r="E654" t="str">
        <f t="shared" si="10"/>
        <v>1203-250981-44753</v>
      </c>
    </row>
    <row r="655" spans="1:5" ht="14.25" customHeight="1">
      <c r="A655" s="13">
        <v>1203</v>
      </c>
      <c r="B655" s="13">
        <v>250981</v>
      </c>
      <c r="C655" s="14">
        <v>44760</v>
      </c>
      <c r="D655" s="15">
        <v>116</v>
      </c>
      <c r="E655" t="str">
        <f t="shared" si="10"/>
        <v>1203-250981-44760</v>
      </c>
    </row>
    <row r="656" spans="1:5" ht="14.25" customHeight="1">
      <c r="A656" s="13">
        <v>1203</v>
      </c>
      <c r="B656" s="13">
        <v>250981</v>
      </c>
      <c r="C656" s="14">
        <v>44767</v>
      </c>
      <c r="D656" s="15">
        <v>106</v>
      </c>
      <c r="E656" t="str">
        <f t="shared" si="10"/>
        <v>1203-250981-44767</v>
      </c>
    </row>
    <row r="657" spans="1:5" ht="14.25" customHeight="1">
      <c r="A657" s="13">
        <v>1203</v>
      </c>
      <c r="B657" s="13">
        <v>250981</v>
      </c>
      <c r="C657" s="14">
        <v>44774</v>
      </c>
      <c r="D657" s="15">
        <v>80</v>
      </c>
      <c r="E657" t="str">
        <f t="shared" si="10"/>
        <v>1203-250981-44774</v>
      </c>
    </row>
    <row r="658" spans="1:5" ht="14.25" customHeight="1">
      <c r="A658" s="13">
        <v>1203</v>
      </c>
      <c r="B658" s="13">
        <v>250981</v>
      </c>
      <c r="C658" s="14">
        <v>44781</v>
      </c>
      <c r="D658" s="15">
        <v>77</v>
      </c>
      <c r="E658" t="str">
        <f t="shared" si="10"/>
        <v>1203-250981-44781</v>
      </c>
    </row>
    <row r="659" spans="1:5" ht="14.25" customHeight="1">
      <c r="A659" s="13">
        <v>1203</v>
      </c>
      <c r="B659" s="13">
        <v>250981</v>
      </c>
      <c r="C659" s="14">
        <v>44788</v>
      </c>
      <c r="D659" s="15">
        <v>81</v>
      </c>
      <c r="E659" t="str">
        <f t="shared" si="10"/>
        <v>1203-250981-44788</v>
      </c>
    </row>
    <row r="660" spans="1:5" ht="14.25" customHeight="1">
      <c r="A660" s="13">
        <v>1203</v>
      </c>
      <c r="B660" s="13">
        <v>262294</v>
      </c>
      <c r="C660" s="14">
        <v>44739</v>
      </c>
      <c r="D660" s="15">
        <v>19</v>
      </c>
      <c r="E660" t="str">
        <f t="shared" si="10"/>
        <v>1203-262294-44739</v>
      </c>
    </row>
    <row r="661" spans="1:5" ht="14.25" customHeight="1">
      <c r="A661" s="13">
        <v>1203</v>
      </c>
      <c r="B661" s="13">
        <v>262294</v>
      </c>
      <c r="C661" s="14">
        <v>44746</v>
      </c>
      <c r="D661" s="15">
        <v>60</v>
      </c>
      <c r="E661" t="str">
        <f t="shared" si="10"/>
        <v>1203-262294-44746</v>
      </c>
    </row>
    <row r="662" spans="1:5" ht="14.25" customHeight="1">
      <c r="A662" s="13">
        <v>1203</v>
      </c>
      <c r="B662" s="13">
        <v>262294</v>
      </c>
      <c r="C662" s="14">
        <v>44753</v>
      </c>
      <c r="D662" s="15">
        <v>29</v>
      </c>
      <c r="E662" t="str">
        <f t="shared" si="10"/>
        <v>1203-262294-44753</v>
      </c>
    </row>
    <row r="663" spans="1:5" ht="14.25" customHeight="1">
      <c r="A663" s="13">
        <v>1203</v>
      </c>
      <c r="B663" s="13">
        <v>262294</v>
      </c>
      <c r="C663" s="14">
        <v>44760</v>
      </c>
      <c r="D663" s="15">
        <v>69</v>
      </c>
      <c r="E663" t="str">
        <f t="shared" si="10"/>
        <v>1203-262294-44760</v>
      </c>
    </row>
    <row r="664" spans="1:5" ht="14.25" customHeight="1">
      <c r="A664" s="13">
        <v>1203</v>
      </c>
      <c r="B664" s="13">
        <v>262294</v>
      </c>
      <c r="C664" s="14">
        <v>44767</v>
      </c>
      <c r="D664" s="15">
        <v>17</v>
      </c>
      <c r="E664" t="str">
        <f t="shared" si="10"/>
        <v>1203-262294-44767</v>
      </c>
    </row>
    <row r="665" spans="1:5" ht="14.25" customHeight="1">
      <c r="A665" s="13">
        <v>1203</v>
      </c>
      <c r="B665" s="13">
        <v>262294</v>
      </c>
      <c r="C665" s="14">
        <v>44774</v>
      </c>
      <c r="D665" s="15">
        <v>59</v>
      </c>
      <c r="E665" t="str">
        <f t="shared" si="10"/>
        <v>1203-262294-44774</v>
      </c>
    </row>
    <row r="666" spans="1:5" ht="14.25" customHeight="1">
      <c r="A666" s="13">
        <v>1203</v>
      </c>
      <c r="B666" s="13">
        <v>262294</v>
      </c>
      <c r="C666" s="14">
        <v>44781</v>
      </c>
      <c r="D666" s="15">
        <v>62</v>
      </c>
      <c r="E666" t="str">
        <f t="shared" si="10"/>
        <v>1203-262294-44781</v>
      </c>
    </row>
    <row r="667" spans="1:5" ht="14.25" customHeight="1">
      <c r="A667" s="13">
        <v>1203</v>
      </c>
      <c r="B667" s="13">
        <v>262294</v>
      </c>
      <c r="C667" s="14">
        <v>44788</v>
      </c>
      <c r="D667" s="15">
        <v>48</v>
      </c>
      <c r="E667" t="str">
        <f t="shared" si="10"/>
        <v>1203-262294-44788</v>
      </c>
    </row>
    <row r="668" spans="1:5" ht="14.25" customHeight="1">
      <c r="A668" s="13">
        <v>1203</v>
      </c>
      <c r="B668" s="13">
        <v>268831</v>
      </c>
      <c r="C668" s="14">
        <v>44739</v>
      </c>
      <c r="D668" s="15">
        <v>1126</v>
      </c>
      <c r="E668" t="str">
        <f t="shared" si="10"/>
        <v>1203-268831-44739</v>
      </c>
    </row>
    <row r="669" spans="1:5" ht="14.25" customHeight="1">
      <c r="A669" s="13">
        <v>1203</v>
      </c>
      <c r="B669" s="13">
        <v>268831</v>
      </c>
      <c r="C669" s="14">
        <v>44746</v>
      </c>
      <c r="D669" s="15">
        <v>585</v>
      </c>
      <c r="E669" t="str">
        <f t="shared" si="10"/>
        <v>1203-268831-44746</v>
      </c>
    </row>
    <row r="670" spans="1:5" ht="14.25" customHeight="1">
      <c r="A670" s="13">
        <v>1203</v>
      </c>
      <c r="B670" s="13">
        <v>268831</v>
      </c>
      <c r="C670" s="14">
        <v>44753</v>
      </c>
      <c r="D670" s="15">
        <v>1169</v>
      </c>
      <c r="E670" t="str">
        <f t="shared" si="10"/>
        <v>1203-268831-44753</v>
      </c>
    </row>
    <row r="671" spans="1:5" ht="14.25" customHeight="1">
      <c r="A671" s="13">
        <v>1203</v>
      </c>
      <c r="B671" s="13">
        <v>268831</v>
      </c>
      <c r="C671" s="14">
        <v>44760</v>
      </c>
      <c r="D671" s="15">
        <v>1156</v>
      </c>
      <c r="E671" t="str">
        <f t="shared" si="10"/>
        <v>1203-268831-44760</v>
      </c>
    </row>
    <row r="672" spans="1:5" ht="14.25" customHeight="1">
      <c r="A672" s="13">
        <v>1203</v>
      </c>
      <c r="B672" s="13">
        <v>268831</v>
      </c>
      <c r="C672" s="14">
        <v>44767</v>
      </c>
      <c r="D672" s="15">
        <v>464</v>
      </c>
      <c r="E672" t="str">
        <f t="shared" si="10"/>
        <v>1203-268831-44767</v>
      </c>
    </row>
    <row r="673" spans="1:5" ht="14.25" customHeight="1">
      <c r="A673" s="13">
        <v>1203</v>
      </c>
      <c r="B673" s="13">
        <v>268831</v>
      </c>
      <c r="C673" s="14">
        <v>44774</v>
      </c>
      <c r="D673" s="15">
        <v>1300</v>
      </c>
      <c r="E673" t="str">
        <f t="shared" si="10"/>
        <v>1203-268831-44774</v>
      </c>
    </row>
    <row r="674" spans="1:5" ht="14.25" customHeight="1">
      <c r="A674" s="13">
        <v>1203</v>
      </c>
      <c r="B674" s="13">
        <v>268831</v>
      </c>
      <c r="C674" s="14">
        <v>44781</v>
      </c>
      <c r="D674" s="15">
        <v>1226</v>
      </c>
      <c r="E674" t="str">
        <f t="shared" si="10"/>
        <v>1203-268831-44781</v>
      </c>
    </row>
    <row r="675" spans="1:5" ht="14.25" customHeight="1">
      <c r="A675" s="13">
        <v>1203</v>
      </c>
      <c r="B675" s="13">
        <v>268831</v>
      </c>
      <c r="C675" s="14">
        <v>44788</v>
      </c>
      <c r="D675" s="15">
        <v>460</v>
      </c>
      <c r="E675" t="str">
        <f t="shared" si="10"/>
        <v>1203-268831-44788</v>
      </c>
    </row>
    <row r="676" spans="1:5" ht="14.25" customHeight="1">
      <c r="A676" s="13">
        <v>1203</v>
      </c>
      <c r="B676" s="13">
        <v>273701</v>
      </c>
      <c r="C676" s="14">
        <v>44739</v>
      </c>
      <c r="D676" s="15">
        <v>18</v>
      </c>
      <c r="E676" t="str">
        <f t="shared" si="10"/>
        <v>1203-273701-44739</v>
      </c>
    </row>
    <row r="677" spans="1:5" ht="14.25" customHeight="1">
      <c r="A677" s="13">
        <v>1203</v>
      </c>
      <c r="B677" s="13">
        <v>273701</v>
      </c>
      <c r="C677" s="14">
        <v>44746</v>
      </c>
      <c r="D677" s="15">
        <v>30</v>
      </c>
      <c r="E677" t="str">
        <f t="shared" si="10"/>
        <v>1203-273701-44746</v>
      </c>
    </row>
    <row r="678" spans="1:5" ht="14.25" customHeight="1">
      <c r="A678" s="13">
        <v>1203</v>
      </c>
      <c r="B678" s="13">
        <v>273701</v>
      </c>
      <c r="C678" s="14">
        <v>44753</v>
      </c>
      <c r="D678" s="15">
        <v>33</v>
      </c>
      <c r="E678" t="str">
        <f t="shared" si="10"/>
        <v>1203-273701-44753</v>
      </c>
    </row>
    <row r="679" spans="1:5" ht="14.25" customHeight="1">
      <c r="A679" s="13">
        <v>1203</v>
      </c>
      <c r="B679" s="13">
        <v>273701</v>
      </c>
      <c r="C679" s="14">
        <v>44760</v>
      </c>
      <c r="D679" s="15">
        <v>13</v>
      </c>
      <c r="E679" t="str">
        <f t="shared" si="10"/>
        <v>1203-273701-44760</v>
      </c>
    </row>
    <row r="680" spans="1:5" ht="14.25" customHeight="1">
      <c r="A680" s="13">
        <v>1203</v>
      </c>
      <c r="B680" s="13">
        <v>273701</v>
      </c>
      <c r="C680" s="14">
        <v>44767</v>
      </c>
      <c r="D680" s="15">
        <v>38</v>
      </c>
      <c r="E680" t="str">
        <f t="shared" si="10"/>
        <v>1203-273701-44767</v>
      </c>
    </row>
    <row r="681" spans="1:5" ht="14.25" customHeight="1">
      <c r="A681" s="13">
        <v>1203</v>
      </c>
      <c r="B681" s="13">
        <v>273701</v>
      </c>
      <c r="C681" s="14">
        <v>44774</v>
      </c>
      <c r="D681" s="15">
        <v>33</v>
      </c>
      <c r="E681" t="str">
        <f t="shared" si="10"/>
        <v>1203-273701-44774</v>
      </c>
    </row>
    <row r="682" spans="1:5" ht="14.25" customHeight="1">
      <c r="A682" s="13">
        <v>1203</v>
      </c>
      <c r="B682" s="13">
        <v>273701</v>
      </c>
      <c r="C682" s="14">
        <v>44781</v>
      </c>
      <c r="D682" s="15">
        <v>31</v>
      </c>
      <c r="E682" t="str">
        <f t="shared" si="10"/>
        <v>1203-273701-44781</v>
      </c>
    </row>
    <row r="683" spans="1:5" ht="14.25" customHeight="1">
      <c r="A683" s="13">
        <v>1203</v>
      </c>
      <c r="B683" s="13">
        <v>273701</v>
      </c>
      <c r="C683" s="14">
        <v>44788</v>
      </c>
      <c r="D683" s="15">
        <v>35</v>
      </c>
      <c r="E683" t="str">
        <f t="shared" si="10"/>
        <v>1203-273701-44788</v>
      </c>
    </row>
    <row r="684" spans="1:5" ht="14.25" customHeight="1">
      <c r="A684" s="13">
        <v>1203</v>
      </c>
      <c r="B684" s="13">
        <v>291726</v>
      </c>
      <c r="C684" s="14">
        <v>44739</v>
      </c>
      <c r="D684" s="15">
        <v>28</v>
      </c>
      <c r="E684" t="str">
        <f t="shared" si="10"/>
        <v>1203-291726-44739</v>
      </c>
    </row>
    <row r="685" spans="1:5" ht="14.25" customHeight="1">
      <c r="A685" s="13">
        <v>1203</v>
      </c>
      <c r="B685" s="13">
        <v>291726</v>
      </c>
      <c r="C685" s="14">
        <v>44746</v>
      </c>
      <c r="D685" s="15">
        <v>28</v>
      </c>
      <c r="E685" t="str">
        <f t="shared" si="10"/>
        <v>1203-291726-44746</v>
      </c>
    </row>
    <row r="686" spans="1:5" ht="14.25" customHeight="1">
      <c r="A686" s="13">
        <v>1203</v>
      </c>
      <c r="B686" s="13">
        <v>291726</v>
      </c>
      <c r="C686" s="14">
        <v>44753</v>
      </c>
      <c r="D686" s="15">
        <v>32</v>
      </c>
      <c r="E686" t="str">
        <f t="shared" si="10"/>
        <v>1203-291726-44753</v>
      </c>
    </row>
    <row r="687" spans="1:5" ht="14.25" customHeight="1">
      <c r="A687" s="13">
        <v>1203</v>
      </c>
      <c r="B687" s="13">
        <v>291726</v>
      </c>
      <c r="C687" s="14">
        <v>44760</v>
      </c>
      <c r="D687" s="15">
        <v>26</v>
      </c>
      <c r="E687" t="str">
        <f t="shared" si="10"/>
        <v>1203-291726-44760</v>
      </c>
    </row>
    <row r="688" spans="1:5" ht="14.25" customHeight="1">
      <c r="A688" s="13">
        <v>1203</v>
      </c>
      <c r="B688" s="13">
        <v>291726</v>
      </c>
      <c r="C688" s="14">
        <v>44767</v>
      </c>
      <c r="D688" s="15">
        <v>30</v>
      </c>
      <c r="E688" t="str">
        <f t="shared" si="10"/>
        <v>1203-291726-44767</v>
      </c>
    </row>
    <row r="689" spans="1:5" ht="14.25" customHeight="1">
      <c r="A689" s="13">
        <v>1203</v>
      </c>
      <c r="B689" s="13">
        <v>291726</v>
      </c>
      <c r="C689" s="14">
        <v>44774</v>
      </c>
      <c r="D689" s="15">
        <v>28</v>
      </c>
      <c r="E689" t="str">
        <f t="shared" si="10"/>
        <v>1203-291726-44774</v>
      </c>
    </row>
    <row r="690" spans="1:5" ht="14.25" customHeight="1">
      <c r="A690" s="13">
        <v>1203</v>
      </c>
      <c r="B690" s="13">
        <v>291726</v>
      </c>
      <c r="C690" s="14">
        <v>44781</v>
      </c>
      <c r="D690" s="15">
        <v>14</v>
      </c>
      <c r="E690" t="str">
        <f t="shared" si="10"/>
        <v>1203-291726-44781</v>
      </c>
    </row>
    <row r="691" spans="1:5" ht="14.25" customHeight="1">
      <c r="A691" s="13">
        <v>1203</v>
      </c>
      <c r="B691" s="13">
        <v>291726</v>
      </c>
      <c r="C691" s="14">
        <v>44788</v>
      </c>
      <c r="D691" s="15">
        <v>25</v>
      </c>
      <c r="E691" t="str">
        <f t="shared" si="10"/>
        <v>1203-291726-44788</v>
      </c>
    </row>
    <row r="692" spans="1:5" ht="14.25" customHeight="1">
      <c r="A692" s="13">
        <v>1203</v>
      </c>
      <c r="B692" s="13">
        <v>291728</v>
      </c>
      <c r="C692" s="14">
        <v>44739</v>
      </c>
      <c r="D692" s="15">
        <v>202</v>
      </c>
      <c r="E692" t="str">
        <f t="shared" si="10"/>
        <v>1203-291728-44739</v>
      </c>
    </row>
    <row r="693" spans="1:5" ht="14.25" customHeight="1">
      <c r="A693" s="13">
        <v>1203</v>
      </c>
      <c r="B693" s="13">
        <v>291728</v>
      </c>
      <c r="C693" s="14">
        <v>44746</v>
      </c>
      <c r="D693" s="15">
        <v>221</v>
      </c>
      <c r="E693" t="str">
        <f t="shared" si="10"/>
        <v>1203-291728-44746</v>
      </c>
    </row>
    <row r="694" spans="1:5" ht="14.25" customHeight="1">
      <c r="A694" s="13">
        <v>1203</v>
      </c>
      <c r="B694" s="13">
        <v>291728</v>
      </c>
      <c r="C694" s="14">
        <v>44753</v>
      </c>
      <c r="D694" s="15">
        <v>47</v>
      </c>
      <c r="E694" t="str">
        <f t="shared" si="10"/>
        <v>1203-291728-44753</v>
      </c>
    </row>
    <row r="695" spans="1:5" ht="14.25" customHeight="1">
      <c r="A695" s="13">
        <v>1203</v>
      </c>
      <c r="B695" s="13">
        <v>291728</v>
      </c>
      <c r="C695" s="14">
        <v>44760</v>
      </c>
      <c r="D695" s="15">
        <v>147</v>
      </c>
      <c r="E695" t="str">
        <f t="shared" si="10"/>
        <v>1203-291728-44760</v>
      </c>
    </row>
    <row r="696" spans="1:5" ht="14.25" customHeight="1">
      <c r="A696" s="13">
        <v>1203</v>
      </c>
      <c r="B696" s="13">
        <v>291728</v>
      </c>
      <c r="C696" s="14">
        <v>44767</v>
      </c>
      <c r="D696" s="15">
        <v>215</v>
      </c>
      <c r="E696" t="str">
        <f t="shared" si="10"/>
        <v>1203-291728-44767</v>
      </c>
    </row>
    <row r="697" spans="1:5" ht="14.25" customHeight="1">
      <c r="A697" s="13">
        <v>1203</v>
      </c>
      <c r="B697" s="13">
        <v>291728</v>
      </c>
      <c r="C697" s="14">
        <v>44774</v>
      </c>
      <c r="D697" s="15">
        <v>47</v>
      </c>
      <c r="E697" t="str">
        <f t="shared" si="10"/>
        <v>1203-291728-44774</v>
      </c>
    </row>
    <row r="698" spans="1:5" ht="14.25" customHeight="1">
      <c r="A698" s="13">
        <v>1203</v>
      </c>
      <c r="B698" s="13">
        <v>291728</v>
      </c>
      <c r="C698" s="14">
        <v>44781</v>
      </c>
      <c r="D698" s="15">
        <v>171</v>
      </c>
      <c r="E698" t="str">
        <f t="shared" si="10"/>
        <v>1203-291728-44781</v>
      </c>
    </row>
    <row r="699" spans="1:5" ht="14.25" customHeight="1">
      <c r="A699" s="13">
        <v>1203</v>
      </c>
      <c r="B699" s="13">
        <v>291728</v>
      </c>
      <c r="C699" s="14">
        <v>44788</v>
      </c>
      <c r="D699" s="15">
        <v>162</v>
      </c>
      <c r="E699" t="str">
        <f t="shared" si="10"/>
        <v>1203-291728-44788</v>
      </c>
    </row>
    <row r="700" spans="1:5" ht="14.25" customHeight="1">
      <c r="A700" s="13">
        <v>1203</v>
      </c>
      <c r="B700" s="13">
        <v>300380</v>
      </c>
      <c r="C700" s="14">
        <v>32874</v>
      </c>
      <c r="D700" s="15">
        <v>42</v>
      </c>
      <c r="E700" t="str">
        <f t="shared" si="10"/>
        <v>1203-300380-32874</v>
      </c>
    </row>
    <row r="701" spans="1:5" ht="14.25" customHeight="1">
      <c r="A701" s="13">
        <v>1203</v>
      </c>
      <c r="B701" s="13">
        <v>300380</v>
      </c>
      <c r="C701" s="14">
        <v>44739</v>
      </c>
      <c r="D701" s="15">
        <v>39</v>
      </c>
      <c r="E701" t="str">
        <f t="shared" si="10"/>
        <v>1203-300380-44739</v>
      </c>
    </row>
    <row r="702" spans="1:5" ht="14.25" customHeight="1">
      <c r="A702" s="13">
        <v>1203</v>
      </c>
      <c r="B702" s="13">
        <v>300380</v>
      </c>
      <c r="C702" s="14">
        <v>44746</v>
      </c>
      <c r="D702" s="15">
        <v>40</v>
      </c>
      <c r="E702" t="str">
        <f t="shared" si="10"/>
        <v>1203-300380-44746</v>
      </c>
    </row>
    <row r="703" spans="1:5" ht="14.25" customHeight="1">
      <c r="A703" s="13">
        <v>1203</v>
      </c>
      <c r="B703" s="13">
        <v>300380</v>
      </c>
      <c r="C703" s="14">
        <v>44753</v>
      </c>
      <c r="D703" s="15">
        <v>43</v>
      </c>
      <c r="E703" t="str">
        <f t="shared" si="10"/>
        <v>1203-300380-44753</v>
      </c>
    </row>
    <row r="704" spans="1:5" ht="14.25" customHeight="1">
      <c r="A704" s="13">
        <v>1203</v>
      </c>
      <c r="B704" s="13">
        <v>300380</v>
      </c>
      <c r="C704" s="14">
        <v>44760</v>
      </c>
      <c r="D704" s="15">
        <v>26</v>
      </c>
      <c r="E704" t="str">
        <f t="shared" si="10"/>
        <v>1203-300380-44760</v>
      </c>
    </row>
    <row r="705" spans="1:5" ht="14.25" customHeight="1">
      <c r="A705" s="13">
        <v>1203</v>
      </c>
      <c r="B705" s="13">
        <v>300380</v>
      </c>
      <c r="C705" s="14">
        <v>44767</v>
      </c>
      <c r="D705" s="15">
        <v>40</v>
      </c>
      <c r="E705" t="str">
        <f t="shared" si="10"/>
        <v>1203-300380-44767</v>
      </c>
    </row>
    <row r="706" spans="1:5" ht="14.25" customHeight="1">
      <c r="A706" s="13">
        <v>1203</v>
      </c>
      <c r="B706" s="13">
        <v>300380</v>
      </c>
      <c r="C706" s="14">
        <v>44774</v>
      </c>
      <c r="D706" s="15">
        <v>24</v>
      </c>
      <c r="E706" t="str">
        <f t="shared" si="10"/>
        <v>1203-300380-44774</v>
      </c>
    </row>
    <row r="707" spans="1:5" ht="14.25" customHeight="1">
      <c r="A707" s="13">
        <v>1203</v>
      </c>
      <c r="B707" s="13">
        <v>300380</v>
      </c>
      <c r="C707" s="14">
        <v>44781</v>
      </c>
      <c r="D707" s="15">
        <v>41</v>
      </c>
      <c r="E707" t="str">
        <f t="shared" ref="E707:E770" si="11">A707&amp;"-"&amp;B707&amp;"-"&amp;INT(C707)</f>
        <v>1203-300380-44781</v>
      </c>
    </row>
    <row r="708" spans="1:5" ht="14.25" customHeight="1">
      <c r="A708" s="13">
        <v>1203</v>
      </c>
      <c r="B708" s="13">
        <v>300380</v>
      </c>
      <c r="C708" s="14">
        <v>44788</v>
      </c>
      <c r="D708" s="15">
        <v>38</v>
      </c>
      <c r="E708" t="str">
        <f t="shared" si="11"/>
        <v>1203-300380-44788</v>
      </c>
    </row>
    <row r="709" spans="1:5" ht="14.25" customHeight="1">
      <c r="A709" s="13">
        <v>1203</v>
      </c>
      <c r="B709" s="13">
        <v>571521</v>
      </c>
      <c r="C709" s="14">
        <v>44739</v>
      </c>
      <c r="D709" s="15">
        <v>132</v>
      </c>
      <c r="E709" t="str">
        <f t="shared" si="11"/>
        <v>1203-571521-44739</v>
      </c>
    </row>
    <row r="710" spans="1:5" ht="14.25" customHeight="1">
      <c r="A710" s="13">
        <v>1203</v>
      </c>
      <c r="B710" s="13">
        <v>571521</v>
      </c>
      <c r="C710" s="14">
        <v>44746</v>
      </c>
      <c r="D710" s="15">
        <v>95</v>
      </c>
      <c r="E710" t="str">
        <f t="shared" si="11"/>
        <v>1203-571521-44746</v>
      </c>
    </row>
    <row r="711" spans="1:5" ht="14.25" customHeight="1">
      <c r="A711" s="13">
        <v>1203</v>
      </c>
      <c r="B711" s="13">
        <v>571521</v>
      </c>
      <c r="C711" s="14">
        <v>44753</v>
      </c>
      <c r="D711" s="15">
        <v>41</v>
      </c>
      <c r="E711" t="str">
        <f t="shared" si="11"/>
        <v>1203-571521-44753</v>
      </c>
    </row>
    <row r="712" spans="1:5" ht="14.25" customHeight="1">
      <c r="A712" s="13">
        <v>1203</v>
      </c>
      <c r="B712" s="13">
        <v>571521</v>
      </c>
      <c r="C712" s="14">
        <v>44760</v>
      </c>
      <c r="D712" s="15">
        <v>150</v>
      </c>
      <c r="E712" t="str">
        <f t="shared" si="11"/>
        <v>1203-571521-44760</v>
      </c>
    </row>
    <row r="713" spans="1:5" ht="14.25" customHeight="1">
      <c r="A713" s="13">
        <v>1203</v>
      </c>
      <c r="B713" s="13">
        <v>571521</v>
      </c>
      <c r="C713" s="14">
        <v>44767</v>
      </c>
      <c r="D713" s="15">
        <v>38</v>
      </c>
      <c r="E713" t="str">
        <f t="shared" si="11"/>
        <v>1203-571521-44767</v>
      </c>
    </row>
    <row r="714" spans="1:5" ht="14.25" customHeight="1">
      <c r="A714" s="13">
        <v>1203</v>
      </c>
      <c r="B714" s="13">
        <v>571521</v>
      </c>
      <c r="C714" s="14">
        <v>44774</v>
      </c>
      <c r="D714" s="15">
        <v>74</v>
      </c>
      <c r="E714" t="str">
        <f t="shared" si="11"/>
        <v>1203-571521-44774</v>
      </c>
    </row>
    <row r="715" spans="1:5" ht="14.25" customHeight="1">
      <c r="A715" s="13">
        <v>1203</v>
      </c>
      <c r="B715" s="13">
        <v>571521</v>
      </c>
      <c r="C715" s="14">
        <v>44781</v>
      </c>
      <c r="D715" s="15">
        <v>118</v>
      </c>
      <c r="E715" t="str">
        <f t="shared" si="11"/>
        <v>1203-571521-44781</v>
      </c>
    </row>
    <row r="716" spans="1:5" ht="14.25" customHeight="1">
      <c r="A716" s="13">
        <v>1203</v>
      </c>
      <c r="B716" s="13">
        <v>571521</v>
      </c>
      <c r="C716" s="14">
        <v>44788</v>
      </c>
      <c r="D716" s="15">
        <v>163</v>
      </c>
      <c r="E716" t="str">
        <f t="shared" si="11"/>
        <v>1203-571521-44788</v>
      </c>
    </row>
    <row r="717" spans="1:5" ht="14.25" customHeight="1">
      <c r="A717" s="13">
        <v>1203</v>
      </c>
      <c r="B717" s="13">
        <v>614993</v>
      </c>
      <c r="C717" s="14">
        <v>44739</v>
      </c>
      <c r="D717" s="15">
        <v>140</v>
      </c>
      <c r="E717" t="str">
        <f t="shared" si="11"/>
        <v>1203-614993-44739</v>
      </c>
    </row>
    <row r="718" spans="1:5" ht="14.25" customHeight="1">
      <c r="A718" s="13">
        <v>1203</v>
      </c>
      <c r="B718" s="13">
        <v>614993</v>
      </c>
      <c r="C718" s="14">
        <v>44746</v>
      </c>
      <c r="D718" s="15">
        <v>357</v>
      </c>
      <c r="E718" t="str">
        <f t="shared" si="11"/>
        <v>1203-614993-44746</v>
      </c>
    </row>
    <row r="719" spans="1:5" ht="14.25" customHeight="1">
      <c r="A719" s="13">
        <v>1203</v>
      </c>
      <c r="B719" s="13">
        <v>614993</v>
      </c>
      <c r="C719" s="14">
        <v>44753</v>
      </c>
      <c r="D719" s="15">
        <v>198</v>
      </c>
      <c r="E719" t="str">
        <f t="shared" si="11"/>
        <v>1203-614993-44753</v>
      </c>
    </row>
    <row r="720" spans="1:5" ht="14.25" customHeight="1">
      <c r="A720" s="16">
        <v>1203</v>
      </c>
      <c r="B720" s="13">
        <v>614993</v>
      </c>
      <c r="C720" s="14">
        <v>44760</v>
      </c>
      <c r="D720" s="15">
        <v>339</v>
      </c>
      <c r="E720" t="str">
        <f t="shared" si="11"/>
        <v>1203-614993-44760</v>
      </c>
    </row>
    <row r="721" spans="1:5" ht="14.25" customHeight="1">
      <c r="A721" s="13">
        <v>1203</v>
      </c>
      <c r="B721" s="13">
        <v>614993</v>
      </c>
      <c r="C721" s="14">
        <v>44767</v>
      </c>
      <c r="D721" s="15">
        <v>249</v>
      </c>
      <c r="E721" t="str">
        <f t="shared" si="11"/>
        <v>1203-614993-44767</v>
      </c>
    </row>
    <row r="722" spans="1:5" ht="14.25" customHeight="1">
      <c r="A722" s="13">
        <v>1203</v>
      </c>
      <c r="B722" s="13">
        <v>614993</v>
      </c>
      <c r="C722" s="14">
        <v>44774</v>
      </c>
      <c r="D722" s="15">
        <v>254</v>
      </c>
      <c r="E722" t="str">
        <f t="shared" si="11"/>
        <v>1203-614993-44774</v>
      </c>
    </row>
    <row r="723" spans="1:5" ht="14.25" customHeight="1">
      <c r="A723" s="13">
        <v>1203</v>
      </c>
      <c r="B723" s="13">
        <v>614993</v>
      </c>
      <c r="C723" s="14">
        <v>44781</v>
      </c>
      <c r="D723" s="15">
        <v>279</v>
      </c>
      <c r="E723" t="str">
        <f t="shared" si="11"/>
        <v>1203-614993-44781</v>
      </c>
    </row>
    <row r="724" spans="1:5" ht="14.25" customHeight="1">
      <c r="A724" s="13">
        <v>1203</v>
      </c>
      <c r="B724" s="13">
        <v>614993</v>
      </c>
      <c r="C724" s="14">
        <v>44788</v>
      </c>
      <c r="D724" s="15">
        <v>138</v>
      </c>
      <c r="E724" t="str">
        <f t="shared" si="11"/>
        <v>1203-614993-44788</v>
      </c>
    </row>
    <row r="725" spans="1:5" ht="14.25" customHeight="1">
      <c r="A725" s="13">
        <v>1204</v>
      </c>
      <c r="B725" s="13">
        <v>23393</v>
      </c>
      <c r="C725" s="14">
        <v>44739</v>
      </c>
      <c r="D725" s="15">
        <v>252</v>
      </c>
      <c r="E725" t="str">
        <f t="shared" si="11"/>
        <v>1204-23393-44739</v>
      </c>
    </row>
    <row r="726" spans="1:5" ht="14.25" customHeight="1">
      <c r="A726" s="13">
        <v>1204</v>
      </c>
      <c r="B726" s="13">
        <v>23393</v>
      </c>
      <c r="C726" s="14">
        <v>44746</v>
      </c>
      <c r="D726" s="15">
        <v>314</v>
      </c>
      <c r="E726" t="str">
        <f t="shared" si="11"/>
        <v>1204-23393-44746</v>
      </c>
    </row>
    <row r="727" spans="1:5" ht="14.25" customHeight="1">
      <c r="A727" s="13">
        <v>1204</v>
      </c>
      <c r="B727" s="13">
        <v>23393</v>
      </c>
      <c r="C727" s="14">
        <v>44753</v>
      </c>
      <c r="D727" s="15">
        <v>290</v>
      </c>
      <c r="E727" t="str">
        <f t="shared" si="11"/>
        <v>1204-23393-44753</v>
      </c>
    </row>
    <row r="728" spans="1:5" ht="14.25" customHeight="1">
      <c r="A728" s="13">
        <v>1204</v>
      </c>
      <c r="B728" s="13">
        <v>23393</v>
      </c>
      <c r="C728" s="14">
        <v>44760</v>
      </c>
      <c r="D728" s="15">
        <v>210</v>
      </c>
      <c r="E728" t="str">
        <f t="shared" si="11"/>
        <v>1204-23393-44760</v>
      </c>
    </row>
    <row r="729" spans="1:5" ht="14.25" customHeight="1">
      <c r="A729" s="13">
        <v>1204</v>
      </c>
      <c r="B729" s="13">
        <v>23393</v>
      </c>
      <c r="C729" s="14">
        <v>44767</v>
      </c>
      <c r="D729" s="15">
        <v>308</v>
      </c>
      <c r="E729" t="str">
        <f t="shared" si="11"/>
        <v>1204-23393-44767</v>
      </c>
    </row>
    <row r="730" spans="1:5" ht="14.25" customHeight="1">
      <c r="A730" s="13">
        <v>1204</v>
      </c>
      <c r="B730" s="13">
        <v>23393</v>
      </c>
      <c r="C730" s="14">
        <v>44774</v>
      </c>
      <c r="D730" s="15">
        <v>209</v>
      </c>
      <c r="E730" t="str">
        <f t="shared" si="11"/>
        <v>1204-23393-44774</v>
      </c>
    </row>
    <row r="731" spans="1:5" ht="14.25" customHeight="1">
      <c r="A731" s="13">
        <v>1204</v>
      </c>
      <c r="B731" s="13">
        <v>23393</v>
      </c>
      <c r="C731" s="14">
        <v>44781</v>
      </c>
      <c r="D731" s="15">
        <v>260</v>
      </c>
      <c r="E731" t="str">
        <f t="shared" si="11"/>
        <v>1204-23393-44781</v>
      </c>
    </row>
    <row r="732" spans="1:5" ht="14.25" customHeight="1">
      <c r="A732" s="13">
        <v>1204</v>
      </c>
      <c r="B732" s="13">
        <v>23393</v>
      </c>
      <c r="C732" s="14">
        <v>44788</v>
      </c>
      <c r="D732" s="15">
        <v>313</v>
      </c>
      <c r="E732" t="str">
        <f t="shared" si="11"/>
        <v>1204-23393-44788</v>
      </c>
    </row>
    <row r="733" spans="1:5" ht="14.25" customHeight="1">
      <c r="A733" s="13">
        <v>1204</v>
      </c>
      <c r="B733" s="13">
        <v>26764</v>
      </c>
      <c r="C733" s="14">
        <v>44739</v>
      </c>
      <c r="D733" s="15">
        <v>66</v>
      </c>
      <c r="E733" t="str">
        <f t="shared" si="11"/>
        <v>1204-26764-44739</v>
      </c>
    </row>
    <row r="734" spans="1:5" ht="14.25" customHeight="1">
      <c r="A734" s="13">
        <v>1204</v>
      </c>
      <c r="B734" s="13">
        <v>26764</v>
      </c>
      <c r="C734" s="14">
        <v>44746</v>
      </c>
      <c r="D734" s="15">
        <v>21</v>
      </c>
      <c r="E734" t="str">
        <f t="shared" si="11"/>
        <v>1204-26764-44746</v>
      </c>
    </row>
    <row r="735" spans="1:5" ht="14.25" customHeight="1">
      <c r="A735" s="13">
        <v>1204</v>
      </c>
      <c r="B735" s="13">
        <v>26764</v>
      </c>
      <c r="C735" s="14">
        <v>44753</v>
      </c>
      <c r="D735" s="15">
        <v>50</v>
      </c>
      <c r="E735" t="str">
        <f t="shared" si="11"/>
        <v>1204-26764-44753</v>
      </c>
    </row>
    <row r="736" spans="1:5" ht="14.25" customHeight="1">
      <c r="A736" s="13">
        <v>1204</v>
      </c>
      <c r="B736" s="13">
        <v>26764</v>
      </c>
      <c r="C736" s="14">
        <v>44760</v>
      </c>
      <c r="D736" s="15">
        <v>64</v>
      </c>
      <c r="E736" t="str">
        <f t="shared" si="11"/>
        <v>1204-26764-44760</v>
      </c>
    </row>
    <row r="737" spans="1:5" ht="14.25" customHeight="1">
      <c r="A737" s="13">
        <v>1204</v>
      </c>
      <c r="B737" s="13">
        <v>26764</v>
      </c>
      <c r="C737" s="14">
        <v>44767</v>
      </c>
      <c r="D737" s="15">
        <v>16</v>
      </c>
      <c r="E737" t="str">
        <f t="shared" si="11"/>
        <v>1204-26764-44767</v>
      </c>
    </row>
    <row r="738" spans="1:5" ht="14.25" customHeight="1">
      <c r="A738" s="13">
        <v>1204</v>
      </c>
      <c r="B738" s="13">
        <v>26764</v>
      </c>
      <c r="C738" s="14">
        <v>44774</v>
      </c>
      <c r="D738" s="15">
        <v>50</v>
      </c>
      <c r="E738" t="str">
        <f t="shared" si="11"/>
        <v>1204-26764-44774</v>
      </c>
    </row>
    <row r="739" spans="1:5" ht="14.25" customHeight="1">
      <c r="A739" s="13">
        <v>1204</v>
      </c>
      <c r="B739" s="13">
        <v>26764</v>
      </c>
      <c r="C739" s="14">
        <v>44781</v>
      </c>
      <c r="D739" s="15">
        <v>16</v>
      </c>
      <c r="E739" t="str">
        <f t="shared" si="11"/>
        <v>1204-26764-44781</v>
      </c>
    </row>
    <row r="740" spans="1:5" ht="14.25" customHeight="1">
      <c r="A740" s="13">
        <v>1204</v>
      </c>
      <c r="B740" s="13">
        <v>26764</v>
      </c>
      <c r="C740" s="14">
        <v>44788</v>
      </c>
      <c r="D740" s="15">
        <v>49</v>
      </c>
      <c r="E740" t="str">
        <f t="shared" si="11"/>
        <v>1204-26764-44788</v>
      </c>
    </row>
    <row r="741" spans="1:5" ht="14.25" customHeight="1">
      <c r="A741" s="13">
        <v>1204</v>
      </c>
      <c r="B741" s="13">
        <v>53934</v>
      </c>
      <c r="C741" s="14">
        <v>44739</v>
      </c>
      <c r="D741" s="15">
        <v>12</v>
      </c>
      <c r="E741" t="str">
        <f t="shared" si="11"/>
        <v>1204-53934-44739</v>
      </c>
    </row>
    <row r="742" spans="1:5" ht="14.25" customHeight="1">
      <c r="A742" s="13">
        <v>1204</v>
      </c>
      <c r="B742" s="13">
        <v>53934</v>
      </c>
      <c r="C742" s="14">
        <v>44746</v>
      </c>
      <c r="D742" s="15">
        <v>12</v>
      </c>
      <c r="E742" t="str">
        <f t="shared" si="11"/>
        <v>1204-53934-44746</v>
      </c>
    </row>
    <row r="743" spans="1:5" ht="14.25" customHeight="1">
      <c r="A743" s="13">
        <v>1204</v>
      </c>
      <c r="B743" s="13">
        <v>53934</v>
      </c>
      <c r="C743" s="14">
        <v>44753</v>
      </c>
      <c r="D743" s="15">
        <v>12</v>
      </c>
      <c r="E743" t="str">
        <f t="shared" si="11"/>
        <v>1204-53934-44753</v>
      </c>
    </row>
    <row r="744" spans="1:5" ht="14.25" customHeight="1">
      <c r="A744" s="13">
        <v>1204</v>
      </c>
      <c r="B744" s="13">
        <v>53934</v>
      </c>
      <c r="C744" s="14">
        <v>44760</v>
      </c>
      <c r="D744" s="15">
        <v>12</v>
      </c>
      <c r="E744" t="str">
        <f t="shared" si="11"/>
        <v>1204-53934-44760</v>
      </c>
    </row>
    <row r="745" spans="1:5" ht="14.25" customHeight="1">
      <c r="A745" s="13">
        <v>1204</v>
      </c>
      <c r="B745" s="13">
        <v>53934</v>
      </c>
      <c r="C745" s="14">
        <v>44767</v>
      </c>
      <c r="D745" s="15">
        <v>12</v>
      </c>
      <c r="E745" t="str">
        <f t="shared" si="11"/>
        <v>1204-53934-44767</v>
      </c>
    </row>
    <row r="746" spans="1:5" ht="14.25" customHeight="1">
      <c r="A746" s="13">
        <v>1204</v>
      </c>
      <c r="B746" s="13">
        <v>53934</v>
      </c>
      <c r="C746" s="14">
        <v>44774</v>
      </c>
      <c r="D746" s="15">
        <v>12</v>
      </c>
      <c r="E746" t="str">
        <f t="shared" si="11"/>
        <v>1204-53934-44774</v>
      </c>
    </row>
    <row r="747" spans="1:5" ht="14.25" customHeight="1">
      <c r="A747" s="13">
        <v>1204</v>
      </c>
      <c r="B747" s="13">
        <v>53934</v>
      </c>
      <c r="C747" s="14">
        <v>44781</v>
      </c>
      <c r="D747" s="15">
        <v>12</v>
      </c>
      <c r="E747" t="str">
        <f t="shared" si="11"/>
        <v>1204-53934-44781</v>
      </c>
    </row>
    <row r="748" spans="1:5" ht="14.25" customHeight="1">
      <c r="A748" s="13">
        <v>1204</v>
      </c>
      <c r="B748" s="13">
        <v>53934</v>
      </c>
      <c r="C748" s="14">
        <v>44788</v>
      </c>
      <c r="D748" s="15">
        <v>12</v>
      </c>
      <c r="E748" t="str">
        <f t="shared" si="11"/>
        <v>1204-53934-44788</v>
      </c>
    </row>
    <row r="749" spans="1:5" ht="14.25" customHeight="1">
      <c r="A749" s="13">
        <v>1204</v>
      </c>
      <c r="B749" s="13">
        <v>78699</v>
      </c>
      <c r="C749" s="14">
        <v>44739</v>
      </c>
      <c r="D749" s="15">
        <v>7</v>
      </c>
      <c r="E749" t="str">
        <f t="shared" si="11"/>
        <v>1204-78699-44739</v>
      </c>
    </row>
    <row r="750" spans="1:5" ht="14.25" customHeight="1">
      <c r="A750" s="13">
        <v>1204</v>
      </c>
      <c r="B750" s="13">
        <v>78699</v>
      </c>
      <c r="C750" s="14">
        <v>44746</v>
      </c>
      <c r="D750" s="15">
        <v>25</v>
      </c>
      <c r="E750" t="str">
        <f t="shared" si="11"/>
        <v>1204-78699-44746</v>
      </c>
    </row>
    <row r="751" spans="1:5" ht="14.25" customHeight="1">
      <c r="A751" s="13">
        <v>1204</v>
      </c>
      <c r="B751" s="13">
        <v>78699</v>
      </c>
      <c r="C751" s="14">
        <v>44753</v>
      </c>
      <c r="D751" s="15">
        <v>7</v>
      </c>
      <c r="E751" t="str">
        <f t="shared" si="11"/>
        <v>1204-78699-44753</v>
      </c>
    </row>
    <row r="752" spans="1:5" ht="14.25" customHeight="1">
      <c r="A752" s="13">
        <v>1204</v>
      </c>
      <c r="B752" s="13">
        <v>78699</v>
      </c>
      <c r="C752" s="14">
        <v>44760</v>
      </c>
      <c r="D752" s="15">
        <v>22</v>
      </c>
      <c r="E752" t="str">
        <f t="shared" si="11"/>
        <v>1204-78699-44760</v>
      </c>
    </row>
    <row r="753" spans="1:5" ht="14.25" customHeight="1">
      <c r="A753" s="13">
        <v>1204</v>
      </c>
      <c r="B753" s="13">
        <v>78699</v>
      </c>
      <c r="C753" s="14">
        <v>44767</v>
      </c>
      <c r="D753" s="15">
        <v>34</v>
      </c>
      <c r="E753" t="str">
        <f t="shared" si="11"/>
        <v>1204-78699-44767</v>
      </c>
    </row>
    <row r="754" spans="1:5" ht="14.25" customHeight="1">
      <c r="A754" s="13">
        <v>1204</v>
      </c>
      <c r="B754" s="13">
        <v>78699</v>
      </c>
      <c r="C754" s="14">
        <v>44774</v>
      </c>
      <c r="D754" s="15">
        <v>30</v>
      </c>
      <c r="E754" t="str">
        <f t="shared" si="11"/>
        <v>1204-78699-44774</v>
      </c>
    </row>
    <row r="755" spans="1:5" ht="14.25" customHeight="1">
      <c r="A755" s="13">
        <v>1204</v>
      </c>
      <c r="B755" s="13">
        <v>78699</v>
      </c>
      <c r="C755" s="14">
        <v>44781</v>
      </c>
      <c r="D755" s="15">
        <v>24</v>
      </c>
      <c r="E755" t="str">
        <f t="shared" si="11"/>
        <v>1204-78699-44781</v>
      </c>
    </row>
    <row r="756" spans="1:5" ht="14.25" customHeight="1">
      <c r="A756" s="13">
        <v>1204</v>
      </c>
      <c r="B756" s="13">
        <v>78699</v>
      </c>
      <c r="C756" s="14">
        <v>44788</v>
      </c>
      <c r="D756" s="15">
        <v>5</v>
      </c>
      <c r="E756" t="str">
        <f t="shared" si="11"/>
        <v>1204-78699-44788</v>
      </c>
    </row>
    <row r="757" spans="1:5" ht="14.25" customHeight="1">
      <c r="A757" s="13">
        <v>1204</v>
      </c>
      <c r="B757" s="13">
        <v>78869</v>
      </c>
      <c r="C757" s="14">
        <v>44739</v>
      </c>
      <c r="D757" s="15">
        <v>16</v>
      </c>
      <c r="E757" t="str">
        <f t="shared" si="11"/>
        <v>1204-78869-44739</v>
      </c>
    </row>
    <row r="758" spans="1:5" ht="14.25" customHeight="1">
      <c r="A758" s="13">
        <v>1204</v>
      </c>
      <c r="B758" s="13">
        <v>78869</v>
      </c>
      <c r="C758" s="14">
        <v>44746</v>
      </c>
      <c r="D758" s="15">
        <v>15</v>
      </c>
      <c r="E758" t="str">
        <f t="shared" si="11"/>
        <v>1204-78869-44746</v>
      </c>
    </row>
    <row r="759" spans="1:5" ht="14.25" customHeight="1">
      <c r="A759" s="13">
        <v>1204</v>
      </c>
      <c r="B759" s="13">
        <v>78869</v>
      </c>
      <c r="C759" s="14">
        <v>44753</v>
      </c>
      <c r="D759" s="15">
        <v>10</v>
      </c>
      <c r="E759" t="str">
        <f t="shared" si="11"/>
        <v>1204-78869-44753</v>
      </c>
    </row>
    <row r="760" spans="1:5" ht="14.25" customHeight="1">
      <c r="A760" s="13">
        <v>1204</v>
      </c>
      <c r="B760" s="13">
        <v>78869</v>
      </c>
      <c r="C760" s="14">
        <v>44760</v>
      </c>
      <c r="D760" s="15">
        <v>12</v>
      </c>
      <c r="E760" t="str">
        <f t="shared" si="11"/>
        <v>1204-78869-44760</v>
      </c>
    </row>
    <row r="761" spans="1:5" ht="14.25" customHeight="1">
      <c r="A761" s="13">
        <v>1204</v>
      </c>
      <c r="B761" s="13">
        <v>78869</v>
      </c>
      <c r="C761" s="14">
        <v>44767</v>
      </c>
      <c r="D761" s="15">
        <v>-1</v>
      </c>
      <c r="E761" t="str">
        <f t="shared" si="11"/>
        <v>1204-78869-44767</v>
      </c>
    </row>
    <row r="762" spans="1:5" ht="14.25" customHeight="1">
      <c r="A762" s="13">
        <v>1204</v>
      </c>
      <c r="B762" s="13">
        <v>78869</v>
      </c>
      <c r="C762" s="14">
        <v>44774</v>
      </c>
      <c r="D762" s="15">
        <v>9</v>
      </c>
      <c r="E762" t="str">
        <f t="shared" si="11"/>
        <v>1204-78869-44774</v>
      </c>
    </row>
    <row r="763" spans="1:5" ht="14.25" customHeight="1">
      <c r="A763" s="13">
        <v>1204</v>
      </c>
      <c r="B763" s="13">
        <v>78869</v>
      </c>
      <c r="C763" s="14">
        <v>44781</v>
      </c>
      <c r="D763" s="15">
        <v>5</v>
      </c>
      <c r="E763" t="str">
        <f t="shared" si="11"/>
        <v>1204-78869-44781</v>
      </c>
    </row>
    <row r="764" spans="1:5" ht="14.25" customHeight="1">
      <c r="A764" s="13">
        <v>1204</v>
      </c>
      <c r="B764" s="13">
        <v>78869</v>
      </c>
      <c r="C764" s="14">
        <v>44788</v>
      </c>
      <c r="D764" s="15">
        <v>14</v>
      </c>
      <c r="E764" t="str">
        <f t="shared" si="11"/>
        <v>1204-78869-44788</v>
      </c>
    </row>
    <row r="765" spans="1:5" ht="14.25" customHeight="1">
      <c r="A765" s="13">
        <v>1204</v>
      </c>
      <c r="B765" s="13">
        <v>115600</v>
      </c>
      <c r="C765" s="14">
        <v>44739</v>
      </c>
      <c r="D765" s="15">
        <v>14</v>
      </c>
      <c r="E765" t="str">
        <f t="shared" si="11"/>
        <v>1204-115600-44739</v>
      </c>
    </row>
    <row r="766" spans="1:5" ht="14.25" customHeight="1">
      <c r="A766" s="13">
        <v>1204</v>
      </c>
      <c r="B766" s="13">
        <v>115600</v>
      </c>
      <c r="C766" s="14">
        <v>44746</v>
      </c>
      <c r="D766" s="15">
        <v>38</v>
      </c>
      <c r="E766" t="str">
        <f t="shared" si="11"/>
        <v>1204-115600-44746</v>
      </c>
    </row>
    <row r="767" spans="1:5" ht="14.25" customHeight="1">
      <c r="A767" s="13">
        <v>1204</v>
      </c>
      <c r="B767" s="13">
        <v>115600</v>
      </c>
      <c r="C767" s="14">
        <v>44753</v>
      </c>
      <c r="D767" s="15">
        <v>34</v>
      </c>
      <c r="E767" t="str">
        <f t="shared" si="11"/>
        <v>1204-115600-44753</v>
      </c>
    </row>
    <row r="768" spans="1:5" ht="14.25" customHeight="1">
      <c r="A768" s="13">
        <v>1204</v>
      </c>
      <c r="B768" s="13">
        <v>115600</v>
      </c>
      <c r="C768" s="14">
        <v>44760</v>
      </c>
      <c r="D768" s="15">
        <v>42</v>
      </c>
      <c r="E768" t="str">
        <f t="shared" si="11"/>
        <v>1204-115600-44760</v>
      </c>
    </row>
    <row r="769" spans="1:5" ht="14.25" customHeight="1">
      <c r="A769" s="13">
        <v>1204</v>
      </c>
      <c r="B769" s="13">
        <v>115600</v>
      </c>
      <c r="C769" s="14">
        <v>44767</v>
      </c>
      <c r="D769" s="15">
        <v>10</v>
      </c>
      <c r="E769" t="str">
        <f t="shared" si="11"/>
        <v>1204-115600-44767</v>
      </c>
    </row>
    <row r="770" spans="1:5" ht="14.25" customHeight="1">
      <c r="A770" s="13">
        <v>1204</v>
      </c>
      <c r="B770" s="13">
        <v>115600</v>
      </c>
      <c r="C770" s="14">
        <v>44774</v>
      </c>
      <c r="D770" s="15">
        <v>39</v>
      </c>
      <c r="E770" t="str">
        <f t="shared" si="11"/>
        <v>1204-115600-44774</v>
      </c>
    </row>
    <row r="771" spans="1:5" ht="14.25" customHeight="1">
      <c r="A771" s="13">
        <v>1204</v>
      </c>
      <c r="B771" s="13">
        <v>115600</v>
      </c>
      <c r="C771" s="14">
        <v>44781</v>
      </c>
      <c r="D771" s="15">
        <v>10</v>
      </c>
      <c r="E771" t="str">
        <f t="shared" ref="E771:E834" si="12">A771&amp;"-"&amp;B771&amp;"-"&amp;INT(C771)</f>
        <v>1204-115600-44781</v>
      </c>
    </row>
    <row r="772" spans="1:5" ht="14.25" customHeight="1">
      <c r="A772" s="13">
        <v>1204</v>
      </c>
      <c r="B772" s="13">
        <v>115600</v>
      </c>
      <c r="C772" s="14">
        <v>44788</v>
      </c>
      <c r="D772" s="15">
        <v>47</v>
      </c>
      <c r="E772" t="str">
        <f t="shared" si="12"/>
        <v>1204-115600-44788</v>
      </c>
    </row>
    <row r="773" spans="1:5" ht="14.25" customHeight="1">
      <c r="A773" s="13">
        <v>1204</v>
      </c>
      <c r="B773" s="13">
        <v>129208</v>
      </c>
      <c r="C773" s="14">
        <v>32874</v>
      </c>
      <c r="D773" s="15">
        <v>27</v>
      </c>
      <c r="E773" t="str">
        <f t="shared" si="12"/>
        <v>1204-129208-32874</v>
      </c>
    </row>
    <row r="774" spans="1:5" ht="14.25" customHeight="1">
      <c r="A774" s="13">
        <v>1204</v>
      </c>
      <c r="B774" s="13">
        <v>129208</v>
      </c>
      <c r="C774" s="14">
        <v>44739</v>
      </c>
      <c r="D774" s="15">
        <v>48</v>
      </c>
      <c r="E774" t="str">
        <f t="shared" si="12"/>
        <v>1204-129208-44739</v>
      </c>
    </row>
    <row r="775" spans="1:5" ht="14.25" customHeight="1">
      <c r="A775" s="13">
        <v>1204</v>
      </c>
      <c r="B775" s="13">
        <v>129208</v>
      </c>
      <c r="C775" s="14">
        <v>44746</v>
      </c>
      <c r="D775" s="15">
        <v>40</v>
      </c>
      <c r="E775" t="str">
        <f t="shared" si="12"/>
        <v>1204-129208-44746</v>
      </c>
    </row>
    <row r="776" spans="1:5" ht="14.25" customHeight="1">
      <c r="A776" s="13">
        <v>1204</v>
      </c>
      <c r="B776" s="13">
        <v>129208</v>
      </c>
      <c r="C776" s="14">
        <v>44753</v>
      </c>
      <c r="D776" s="15">
        <v>24</v>
      </c>
      <c r="E776" t="str">
        <f t="shared" si="12"/>
        <v>1204-129208-44753</v>
      </c>
    </row>
    <row r="777" spans="1:5" ht="14.25" customHeight="1">
      <c r="A777" s="13">
        <v>1204</v>
      </c>
      <c r="B777" s="13">
        <v>129208</v>
      </c>
      <c r="C777" s="14">
        <v>44760</v>
      </c>
      <c r="D777" s="15">
        <v>18</v>
      </c>
      <c r="E777" t="str">
        <f t="shared" si="12"/>
        <v>1204-129208-44760</v>
      </c>
    </row>
    <row r="778" spans="1:5" ht="14.25" customHeight="1">
      <c r="A778" s="13">
        <v>1204</v>
      </c>
      <c r="B778" s="13">
        <v>129208</v>
      </c>
      <c r="C778" s="14">
        <v>44767</v>
      </c>
      <c r="D778" s="15">
        <v>36</v>
      </c>
      <c r="E778" t="str">
        <f t="shared" si="12"/>
        <v>1204-129208-44767</v>
      </c>
    </row>
    <row r="779" spans="1:5" ht="14.25" customHeight="1">
      <c r="A779" s="13">
        <v>1204</v>
      </c>
      <c r="B779" s="13">
        <v>129208</v>
      </c>
      <c r="C779" s="14">
        <v>44774</v>
      </c>
      <c r="D779" s="15">
        <v>41</v>
      </c>
      <c r="E779" t="str">
        <f t="shared" si="12"/>
        <v>1204-129208-44774</v>
      </c>
    </row>
    <row r="780" spans="1:5" ht="14.25" customHeight="1">
      <c r="A780" s="13">
        <v>1204</v>
      </c>
      <c r="B780" s="13">
        <v>129208</v>
      </c>
      <c r="C780" s="14">
        <v>44781</v>
      </c>
      <c r="D780" s="15">
        <v>46</v>
      </c>
      <c r="E780" t="str">
        <f t="shared" si="12"/>
        <v>1204-129208-44781</v>
      </c>
    </row>
    <row r="781" spans="1:5" ht="14.25" customHeight="1">
      <c r="A781" s="13">
        <v>1204</v>
      </c>
      <c r="B781" s="13">
        <v>129208</v>
      </c>
      <c r="C781" s="14">
        <v>44788</v>
      </c>
      <c r="D781" s="15">
        <v>36</v>
      </c>
      <c r="E781" t="str">
        <f t="shared" si="12"/>
        <v>1204-129208-44788</v>
      </c>
    </row>
    <row r="782" spans="1:5" ht="14.25" customHeight="1">
      <c r="A782" s="13">
        <v>1204</v>
      </c>
      <c r="B782" s="13">
        <v>141622</v>
      </c>
      <c r="C782" s="14">
        <v>44739</v>
      </c>
      <c r="D782" s="15">
        <v>7</v>
      </c>
      <c r="E782" t="str">
        <f t="shared" si="12"/>
        <v>1204-141622-44739</v>
      </c>
    </row>
    <row r="783" spans="1:5" ht="14.25" customHeight="1">
      <c r="A783" s="13">
        <v>1204</v>
      </c>
      <c r="B783" s="13">
        <v>141622</v>
      </c>
      <c r="C783" s="14">
        <v>44746</v>
      </c>
      <c r="D783" s="15">
        <v>8</v>
      </c>
      <c r="E783" t="str">
        <f t="shared" si="12"/>
        <v>1204-141622-44746</v>
      </c>
    </row>
    <row r="784" spans="1:5" ht="14.25" customHeight="1">
      <c r="A784" s="13">
        <v>1204</v>
      </c>
      <c r="B784" s="13">
        <v>141622</v>
      </c>
      <c r="C784" s="14">
        <v>44753</v>
      </c>
      <c r="D784" s="15">
        <v>6</v>
      </c>
      <c r="E784" t="str">
        <f t="shared" si="12"/>
        <v>1204-141622-44753</v>
      </c>
    </row>
    <row r="785" spans="1:5" ht="14.25" customHeight="1">
      <c r="A785" s="13">
        <v>1204</v>
      </c>
      <c r="B785" s="13">
        <v>141622</v>
      </c>
      <c r="C785" s="14">
        <v>44760</v>
      </c>
      <c r="D785" s="15">
        <v>8</v>
      </c>
      <c r="E785" t="str">
        <f t="shared" si="12"/>
        <v>1204-141622-44760</v>
      </c>
    </row>
    <row r="786" spans="1:5" ht="14.25" customHeight="1">
      <c r="A786" s="13">
        <v>1204</v>
      </c>
      <c r="B786" s="13">
        <v>141622</v>
      </c>
      <c r="C786" s="14">
        <v>44767</v>
      </c>
      <c r="D786" s="15">
        <v>2</v>
      </c>
      <c r="E786" t="str">
        <f t="shared" si="12"/>
        <v>1204-141622-44767</v>
      </c>
    </row>
    <row r="787" spans="1:5" ht="14.25" customHeight="1">
      <c r="A787" s="13">
        <v>1204</v>
      </c>
      <c r="B787" s="13">
        <v>141622</v>
      </c>
      <c r="C787" s="14">
        <v>44774</v>
      </c>
      <c r="D787" s="15">
        <v>9</v>
      </c>
      <c r="E787" t="str">
        <f t="shared" si="12"/>
        <v>1204-141622-44774</v>
      </c>
    </row>
    <row r="788" spans="1:5" ht="14.25" customHeight="1">
      <c r="A788" s="13">
        <v>1204</v>
      </c>
      <c r="B788" s="13">
        <v>141622</v>
      </c>
      <c r="C788" s="14">
        <v>44781</v>
      </c>
      <c r="D788" s="15">
        <v>6</v>
      </c>
      <c r="E788" t="str">
        <f t="shared" si="12"/>
        <v>1204-141622-44781</v>
      </c>
    </row>
    <row r="789" spans="1:5" ht="14.25" customHeight="1">
      <c r="A789" s="13">
        <v>1204</v>
      </c>
      <c r="B789" s="13">
        <v>141622</v>
      </c>
      <c r="C789" s="14">
        <v>44788</v>
      </c>
      <c r="D789" s="15">
        <v>10</v>
      </c>
      <c r="E789" t="str">
        <f t="shared" si="12"/>
        <v>1204-141622-44788</v>
      </c>
    </row>
    <row r="790" spans="1:5" ht="14.25" customHeight="1">
      <c r="A790" s="13">
        <v>1204</v>
      </c>
      <c r="B790" s="13">
        <v>141626</v>
      </c>
      <c r="C790" s="14">
        <v>44739</v>
      </c>
      <c r="D790" s="15">
        <v>484</v>
      </c>
      <c r="E790" t="str">
        <f t="shared" si="12"/>
        <v>1204-141626-44739</v>
      </c>
    </row>
    <row r="791" spans="1:5" ht="14.25" customHeight="1">
      <c r="A791" s="13">
        <v>1204</v>
      </c>
      <c r="B791" s="13">
        <v>141626</v>
      </c>
      <c r="C791" s="14">
        <v>44746</v>
      </c>
      <c r="D791" s="15">
        <v>918</v>
      </c>
      <c r="E791" t="str">
        <f t="shared" si="12"/>
        <v>1204-141626-44746</v>
      </c>
    </row>
    <row r="792" spans="1:5" ht="14.25" customHeight="1">
      <c r="A792" s="13">
        <v>1204</v>
      </c>
      <c r="B792" s="13">
        <v>141626</v>
      </c>
      <c r="C792" s="14">
        <v>44753</v>
      </c>
      <c r="D792" s="15">
        <v>1117</v>
      </c>
      <c r="E792" t="str">
        <f t="shared" si="12"/>
        <v>1204-141626-44753</v>
      </c>
    </row>
    <row r="793" spans="1:5" ht="14.25" customHeight="1">
      <c r="A793" s="13">
        <v>1204</v>
      </c>
      <c r="B793" s="13">
        <v>141626</v>
      </c>
      <c r="C793" s="14">
        <v>44760</v>
      </c>
      <c r="D793" s="15">
        <v>1071</v>
      </c>
      <c r="E793" t="str">
        <f t="shared" si="12"/>
        <v>1204-141626-44760</v>
      </c>
    </row>
    <row r="794" spans="1:5" ht="14.25" customHeight="1">
      <c r="A794" s="13">
        <v>1204</v>
      </c>
      <c r="B794" s="13">
        <v>141626</v>
      </c>
      <c r="C794" s="14">
        <v>44767</v>
      </c>
      <c r="D794" s="15">
        <v>342</v>
      </c>
      <c r="E794" t="str">
        <f t="shared" si="12"/>
        <v>1204-141626-44767</v>
      </c>
    </row>
    <row r="795" spans="1:5" ht="14.25" customHeight="1">
      <c r="A795" s="13">
        <v>1204</v>
      </c>
      <c r="B795" s="13">
        <v>141626</v>
      </c>
      <c r="C795" s="14">
        <v>44774</v>
      </c>
      <c r="D795" s="15">
        <v>1087</v>
      </c>
      <c r="E795" t="str">
        <f t="shared" si="12"/>
        <v>1204-141626-44774</v>
      </c>
    </row>
    <row r="796" spans="1:5" ht="14.25" customHeight="1">
      <c r="A796" s="13">
        <v>1204</v>
      </c>
      <c r="B796" s="13">
        <v>141626</v>
      </c>
      <c r="C796" s="14">
        <v>44781</v>
      </c>
      <c r="D796" s="15">
        <v>1265</v>
      </c>
      <c r="E796" t="str">
        <f t="shared" si="12"/>
        <v>1204-141626-44781</v>
      </c>
    </row>
    <row r="797" spans="1:5" ht="14.25" customHeight="1">
      <c r="A797" s="13">
        <v>1204</v>
      </c>
      <c r="B797" s="13">
        <v>141626</v>
      </c>
      <c r="C797" s="14">
        <v>44788</v>
      </c>
      <c r="D797" s="15">
        <v>971</v>
      </c>
      <c r="E797" t="str">
        <f t="shared" si="12"/>
        <v>1204-141626-44788</v>
      </c>
    </row>
    <row r="798" spans="1:5" ht="14.25" customHeight="1">
      <c r="A798" s="13">
        <v>1204</v>
      </c>
      <c r="B798" s="13">
        <v>141791</v>
      </c>
      <c r="C798" s="14">
        <v>44739</v>
      </c>
      <c r="D798" s="15">
        <v>35</v>
      </c>
      <c r="E798" t="str">
        <f t="shared" si="12"/>
        <v>1204-141791-44739</v>
      </c>
    </row>
    <row r="799" spans="1:5" ht="14.25" customHeight="1">
      <c r="A799" s="13">
        <v>1204</v>
      </c>
      <c r="B799" s="13">
        <v>141791</v>
      </c>
      <c r="C799" s="14">
        <v>44746</v>
      </c>
      <c r="D799" s="15">
        <v>36</v>
      </c>
      <c r="E799" t="str">
        <f t="shared" si="12"/>
        <v>1204-141791-44746</v>
      </c>
    </row>
    <row r="800" spans="1:5" ht="14.25" customHeight="1">
      <c r="A800" s="13">
        <v>1204</v>
      </c>
      <c r="B800" s="13">
        <v>141791</v>
      </c>
      <c r="C800" s="14">
        <v>44753</v>
      </c>
      <c r="D800" s="15">
        <v>24</v>
      </c>
      <c r="E800" t="str">
        <f t="shared" si="12"/>
        <v>1204-141791-44753</v>
      </c>
    </row>
    <row r="801" spans="1:5" ht="14.25" customHeight="1">
      <c r="A801" s="13">
        <v>1204</v>
      </c>
      <c r="B801" s="13">
        <v>141791</v>
      </c>
      <c r="C801" s="14">
        <v>44760</v>
      </c>
      <c r="D801" s="15">
        <v>24</v>
      </c>
      <c r="E801" t="str">
        <f t="shared" si="12"/>
        <v>1204-141791-44760</v>
      </c>
    </row>
    <row r="802" spans="1:5" ht="14.25" customHeight="1">
      <c r="A802" s="13">
        <v>1204</v>
      </c>
      <c r="B802" s="13">
        <v>141791</v>
      </c>
      <c r="C802" s="14">
        <v>44767</v>
      </c>
      <c r="D802" s="15">
        <v>27</v>
      </c>
      <c r="E802" t="str">
        <f t="shared" si="12"/>
        <v>1204-141791-44767</v>
      </c>
    </row>
    <row r="803" spans="1:5" ht="14.25" customHeight="1">
      <c r="A803" s="13">
        <v>1204</v>
      </c>
      <c r="B803" s="13">
        <v>141791</v>
      </c>
      <c r="C803" s="14">
        <v>44774</v>
      </c>
      <c r="D803" s="15">
        <v>36</v>
      </c>
      <c r="E803" t="str">
        <f t="shared" si="12"/>
        <v>1204-141791-44774</v>
      </c>
    </row>
    <row r="804" spans="1:5" ht="14.25" customHeight="1">
      <c r="A804" s="13">
        <v>1204</v>
      </c>
      <c r="B804" s="13">
        <v>141791</v>
      </c>
      <c r="C804" s="14">
        <v>44781</v>
      </c>
      <c r="D804" s="15">
        <v>12</v>
      </c>
      <c r="E804" t="str">
        <f t="shared" si="12"/>
        <v>1204-141791-44781</v>
      </c>
    </row>
    <row r="805" spans="1:5" ht="14.25" customHeight="1">
      <c r="A805" s="13">
        <v>1204</v>
      </c>
      <c r="B805" s="13">
        <v>141791</v>
      </c>
      <c r="C805" s="14">
        <v>44788</v>
      </c>
      <c r="D805" s="15">
        <v>29</v>
      </c>
      <c r="E805" t="str">
        <f t="shared" si="12"/>
        <v>1204-141791-44788</v>
      </c>
    </row>
    <row r="806" spans="1:5" ht="14.25" customHeight="1">
      <c r="A806" s="13">
        <v>1204</v>
      </c>
      <c r="B806" s="13">
        <v>141846</v>
      </c>
      <c r="C806" s="14">
        <v>44739</v>
      </c>
      <c r="D806" s="15">
        <v>10</v>
      </c>
      <c r="E806" t="str">
        <f t="shared" si="12"/>
        <v>1204-141846-44739</v>
      </c>
    </row>
    <row r="807" spans="1:5" ht="14.25" customHeight="1">
      <c r="A807" s="13">
        <v>1204</v>
      </c>
      <c r="B807" s="13">
        <v>141846</v>
      </c>
      <c r="C807" s="14">
        <v>44746</v>
      </c>
      <c r="D807" s="15">
        <v>10</v>
      </c>
      <c r="E807" t="str">
        <f t="shared" si="12"/>
        <v>1204-141846-44746</v>
      </c>
    </row>
    <row r="808" spans="1:5" ht="14.25" customHeight="1">
      <c r="A808" s="13">
        <v>1204</v>
      </c>
      <c r="B808" s="13">
        <v>141846</v>
      </c>
      <c r="C808" s="14">
        <v>44753</v>
      </c>
      <c r="D808" s="15">
        <v>10</v>
      </c>
      <c r="E808" t="str">
        <f t="shared" si="12"/>
        <v>1204-141846-44753</v>
      </c>
    </row>
    <row r="809" spans="1:5" ht="14.25" customHeight="1">
      <c r="A809" s="13">
        <v>1204</v>
      </c>
      <c r="B809" s="13">
        <v>141846</v>
      </c>
      <c r="C809" s="14">
        <v>44760</v>
      </c>
      <c r="D809" s="15">
        <v>8</v>
      </c>
      <c r="E809" t="str">
        <f t="shared" si="12"/>
        <v>1204-141846-44760</v>
      </c>
    </row>
    <row r="810" spans="1:5" ht="14.25" customHeight="1">
      <c r="A810" s="13">
        <v>1204</v>
      </c>
      <c r="B810" s="13">
        <v>141846</v>
      </c>
      <c r="C810" s="14">
        <v>44767</v>
      </c>
      <c r="D810" s="15">
        <v>1</v>
      </c>
      <c r="E810" t="str">
        <f t="shared" si="12"/>
        <v>1204-141846-44767</v>
      </c>
    </row>
    <row r="811" spans="1:5" ht="14.25" customHeight="1">
      <c r="A811" s="13">
        <v>1204</v>
      </c>
      <c r="B811" s="13">
        <v>141846</v>
      </c>
      <c r="C811" s="14">
        <v>44774</v>
      </c>
      <c r="D811" s="15">
        <v>6</v>
      </c>
      <c r="E811" t="str">
        <f t="shared" si="12"/>
        <v>1204-141846-44774</v>
      </c>
    </row>
    <row r="812" spans="1:5" ht="14.25" customHeight="1">
      <c r="A812" s="13">
        <v>1204</v>
      </c>
      <c r="B812" s="13">
        <v>141846</v>
      </c>
      <c r="C812" s="14">
        <v>44781</v>
      </c>
      <c r="D812" s="15">
        <v>6</v>
      </c>
      <c r="E812" t="str">
        <f t="shared" si="12"/>
        <v>1204-141846-44781</v>
      </c>
    </row>
    <row r="813" spans="1:5" ht="14.25" customHeight="1">
      <c r="A813" s="13">
        <v>1204</v>
      </c>
      <c r="B813" s="13">
        <v>141846</v>
      </c>
      <c r="C813" s="14">
        <v>44788</v>
      </c>
      <c r="D813" s="15">
        <v>10</v>
      </c>
      <c r="E813" t="str">
        <f t="shared" si="12"/>
        <v>1204-141846-44788</v>
      </c>
    </row>
    <row r="814" spans="1:5" ht="14.25" customHeight="1">
      <c r="A814" s="13">
        <v>1204</v>
      </c>
      <c r="B814" s="13">
        <v>141967</v>
      </c>
      <c r="C814" s="14">
        <v>44739</v>
      </c>
      <c r="D814" s="15">
        <v>15</v>
      </c>
      <c r="E814" t="str">
        <f t="shared" si="12"/>
        <v>1204-141967-44739</v>
      </c>
    </row>
    <row r="815" spans="1:5" ht="14.25" customHeight="1">
      <c r="A815" s="13">
        <v>1204</v>
      </c>
      <c r="B815" s="13">
        <v>141967</v>
      </c>
      <c r="C815" s="14">
        <v>44746</v>
      </c>
      <c r="D815" s="15">
        <v>8</v>
      </c>
      <c r="E815" t="str">
        <f t="shared" si="12"/>
        <v>1204-141967-44746</v>
      </c>
    </row>
    <row r="816" spans="1:5" ht="14.25" customHeight="1">
      <c r="A816" s="13">
        <v>1204</v>
      </c>
      <c r="B816" s="13">
        <v>141967</v>
      </c>
      <c r="C816" s="14">
        <v>44753</v>
      </c>
      <c r="D816" s="15">
        <v>6</v>
      </c>
      <c r="E816" t="str">
        <f t="shared" si="12"/>
        <v>1204-141967-44753</v>
      </c>
    </row>
    <row r="817" spans="1:5" ht="14.25" customHeight="1">
      <c r="A817" s="13">
        <v>1204</v>
      </c>
      <c r="B817" s="13">
        <v>141967</v>
      </c>
      <c r="C817" s="14">
        <v>44760</v>
      </c>
      <c r="D817" s="15">
        <v>15</v>
      </c>
      <c r="E817" t="str">
        <f t="shared" si="12"/>
        <v>1204-141967-44760</v>
      </c>
    </row>
    <row r="818" spans="1:5" ht="14.25" customHeight="1">
      <c r="A818" s="13">
        <v>1204</v>
      </c>
      <c r="B818" s="13">
        <v>141967</v>
      </c>
      <c r="C818" s="14">
        <v>44767</v>
      </c>
      <c r="D818" s="15">
        <v>24</v>
      </c>
      <c r="E818" t="str">
        <f t="shared" si="12"/>
        <v>1204-141967-44767</v>
      </c>
    </row>
    <row r="819" spans="1:5" ht="14.25" customHeight="1">
      <c r="A819" s="13">
        <v>1204</v>
      </c>
      <c r="B819" s="13">
        <v>141967</v>
      </c>
      <c r="C819" s="14">
        <v>44774</v>
      </c>
      <c r="D819" s="15">
        <v>30</v>
      </c>
      <c r="E819" t="str">
        <f t="shared" si="12"/>
        <v>1204-141967-44774</v>
      </c>
    </row>
    <row r="820" spans="1:5" ht="14.25" customHeight="1">
      <c r="A820" s="13">
        <v>1204</v>
      </c>
      <c r="B820" s="13">
        <v>141967</v>
      </c>
      <c r="C820" s="14">
        <v>44781</v>
      </c>
      <c r="D820" s="15">
        <v>26</v>
      </c>
      <c r="E820" t="str">
        <f t="shared" si="12"/>
        <v>1204-141967-44781</v>
      </c>
    </row>
    <row r="821" spans="1:5" ht="14.25" customHeight="1">
      <c r="A821" s="13">
        <v>1204</v>
      </c>
      <c r="B821" s="13">
        <v>141967</v>
      </c>
      <c r="C821" s="14">
        <v>44788</v>
      </c>
      <c r="D821" s="15">
        <v>9</v>
      </c>
      <c r="E821" t="str">
        <f t="shared" si="12"/>
        <v>1204-141967-44788</v>
      </c>
    </row>
    <row r="822" spans="1:5" ht="14.25" customHeight="1">
      <c r="A822" s="13">
        <v>1204</v>
      </c>
      <c r="B822" s="13">
        <v>142194</v>
      </c>
      <c r="C822" s="14">
        <v>44739</v>
      </c>
      <c r="D822" s="15">
        <v>27</v>
      </c>
      <c r="E822" t="str">
        <f t="shared" si="12"/>
        <v>1204-142194-44739</v>
      </c>
    </row>
    <row r="823" spans="1:5" ht="14.25" customHeight="1">
      <c r="A823" s="13">
        <v>1204</v>
      </c>
      <c r="B823" s="13">
        <v>142194</v>
      </c>
      <c r="C823" s="14">
        <v>44746</v>
      </c>
      <c r="D823" s="15">
        <v>24</v>
      </c>
      <c r="E823" t="str">
        <f t="shared" si="12"/>
        <v>1204-142194-44746</v>
      </c>
    </row>
    <row r="824" spans="1:5" ht="14.25" customHeight="1">
      <c r="A824" s="13">
        <v>1204</v>
      </c>
      <c r="B824" s="13">
        <v>142194</v>
      </c>
      <c r="C824" s="14">
        <v>44753</v>
      </c>
      <c r="D824" s="15">
        <v>13</v>
      </c>
      <c r="E824" t="str">
        <f t="shared" si="12"/>
        <v>1204-142194-44753</v>
      </c>
    </row>
    <row r="825" spans="1:5" ht="14.25" customHeight="1">
      <c r="A825" s="13">
        <v>1204</v>
      </c>
      <c r="B825" s="13">
        <v>142194</v>
      </c>
      <c r="C825" s="14">
        <v>44760</v>
      </c>
      <c r="D825" s="15">
        <v>35</v>
      </c>
      <c r="E825" t="str">
        <f t="shared" si="12"/>
        <v>1204-142194-44760</v>
      </c>
    </row>
    <row r="826" spans="1:5" ht="14.25" customHeight="1">
      <c r="A826" s="13">
        <v>1204</v>
      </c>
      <c r="B826" s="13">
        <v>142194</v>
      </c>
      <c r="C826" s="14">
        <v>44767</v>
      </c>
      <c r="D826" s="15">
        <v>33</v>
      </c>
      <c r="E826" t="str">
        <f t="shared" si="12"/>
        <v>1204-142194-44767</v>
      </c>
    </row>
    <row r="827" spans="1:5" ht="14.25" customHeight="1">
      <c r="A827" s="13">
        <v>1204</v>
      </c>
      <c r="B827" s="13">
        <v>142194</v>
      </c>
      <c r="C827" s="14">
        <v>44774</v>
      </c>
      <c r="D827" s="15">
        <v>35</v>
      </c>
      <c r="E827" t="str">
        <f t="shared" si="12"/>
        <v>1204-142194-44774</v>
      </c>
    </row>
    <row r="828" spans="1:5" ht="14.25" customHeight="1">
      <c r="A828" s="13">
        <v>1204</v>
      </c>
      <c r="B828" s="13">
        <v>142194</v>
      </c>
      <c r="C828" s="14">
        <v>44781</v>
      </c>
      <c r="D828" s="15">
        <v>11</v>
      </c>
      <c r="E828" t="str">
        <f t="shared" si="12"/>
        <v>1204-142194-44781</v>
      </c>
    </row>
    <row r="829" spans="1:5" ht="14.25" customHeight="1">
      <c r="A829" s="13">
        <v>1204</v>
      </c>
      <c r="B829" s="13">
        <v>142194</v>
      </c>
      <c r="C829" s="14">
        <v>44788</v>
      </c>
      <c r="D829" s="15">
        <v>34</v>
      </c>
      <c r="E829" t="str">
        <f t="shared" si="12"/>
        <v>1204-142194-44788</v>
      </c>
    </row>
    <row r="830" spans="1:5" ht="14.25" customHeight="1">
      <c r="A830" s="13">
        <v>1204</v>
      </c>
      <c r="B830" s="13">
        <v>149729</v>
      </c>
      <c r="C830" s="14">
        <v>44739</v>
      </c>
      <c r="D830" s="15">
        <v>18</v>
      </c>
      <c r="E830" t="str">
        <f t="shared" si="12"/>
        <v>1204-149729-44739</v>
      </c>
    </row>
    <row r="831" spans="1:5" ht="14.25" customHeight="1">
      <c r="A831" s="13">
        <v>1204</v>
      </c>
      <c r="B831" s="13">
        <v>149729</v>
      </c>
      <c r="C831" s="14">
        <v>44746</v>
      </c>
      <c r="D831" s="15">
        <v>15</v>
      </c>
      <c r="E831" t="str">
        <f t="shared" si="12"/>
        <v>1204-149729-44746</v>
      </c>
    </row>
    <row r="832" spans="1:5" ht="14.25" customHeight="1">
      <c r="A832" s="13">
        <v>1204</v>
      </c>
      <c r="B832" s="13">
        <v>149729</v>
      </c>
      <c r="C832" s="14">
        <v>44753</v>
      </c>
      <c r="D832" s="15">
        <v>26</v>
      </c>
      <c r="E832" t="str">
        <f t="shared" si="12"/>
        <v>1204-149729-44753</v>
      </c>
    </row>
    <row r="833" spans="1:5" ht="14.25" customHeight="1">
      <c r="A833" s="13">
        <v>1204</v>
      </c>
      <c r="B833" s="13">
        <v>149729</v>
      </c>
      <c r="C833" s="14">
        <v>44760</v>
      </c>
      <c r="D833" s="15">
        <v>34</v>
      </c>
      <c r="E833" t="str">
        <f t="shared" si="12"/>
        <v>1204-149729-44760</v>
      </c>
    </row>
    <row r="834" spans="1:5" ht="14.25" customHeight="1">
      <c r="A834" s="13">
        <v>1204</v>
      </c>
      <c r="B834" s="13">
        <v>149729</v>
      </c>
      <c r="C834" s="14">
        <v>44767</v>
      </c>
      <c r="D834" s="15">
        <v>31</v>
      </c>
      <c r="E834" t="str">
        <f t="shared" si="12"/>
        <v>1204-149729-44767</v>
      </c>
    </row>
    <row r="835" spans="1:5" ht="14.25" customHeight="1">
      <c r="A835" s="13">
        <v>1204</v>
      </c>
      <c r="B835" s="13">
        <v>149729</v>
      </c>
      <c r="C835" s="14">
        <v>44774</v>
      </c>
      <c r="D835" s="15">
        <v>31</v>
      </c>
      <c r="E835" t="str">
        <f t="shared" ref="E835:E898" si="13">A835&amp;"-"&amp;B835&amp;"-"&amp;INT(C835)</f>
        <v>1204-149729-44774</v>
      </c>
    </row>
    <row r="836" spans="1:5" ht="14.25" customHeight="1">
      <c r="A836" s="13">
        <v>1204</v>
      </c>
      <c r="B836" s="13">
        <v>149729</v>
      </c>
      <c r="C836" s="14">
        <v>44781</v>
      </c>
      <c r="D836" s="15">
        <v>27</v>
      </c>
      <c r="E836" t="str">
        <f t="shared" si="13"/>
        <v>1204-149729-44781</v>
      </c>
    </row>
    <row r="837" spans="1:5" ht="14.25" customHeight="1">
      <c r="A837" s="13">
        <v>1204</v>
      </c>
      <c r="B837" s="13">
        <v>149729</v>
      </c>
      <c r="C837" s="14">
        <v>44788</v>
      </c>
      <c r="D837" s="15">
        <v>35</v>
      </c>
      <c r="E837" t="str">
        <f t="shared" si="13"/>
        <v>1204-149729-44788</v>
      </c>
    </row>
    <row r="838" spans="1:5" ht="14.25" customHeight="1">
      <c r="A838" s="13">
        <v>1204</v>
      </c>
      <c r="B838" s="13">
        <v>149779</v>
      </c>
      <c r="C838" s="14">
        <v>44739</v>
      </c>
      <c r="D838" s="15">
        <v>3</v>
      </c>
      <c r="E838" t="str">
        <f t="shared" si="13"/>
        <v>1204-149779-44739</v>
      </c>
    </row>
    <row r="839" spans="1:5" ht="14.25" customHeight="1">
      <c r="A839" s="13">
        <v>1204</v>
      </c>
      <c r="B839" s="13">
        <v>149779</v>
      </c>
      <c r="C839" s="14">
        <v>44746</v>
      </c>
      <c r="D839" s="15">
        <v>3</v>
      </c>
      <c r="E839" t="str">
        <f t="shared" si="13"/>
        <v>1204-149779-44746</v>
      </c>
    </row>
    <row r="840" spans="1:5" ht="14.25" customHeight="1">
      <c r="A840" s="13">
        <v>1204</v>
      </c>
      <c r="B840" s="13">
        <v>149779</v>
      </c>
      <c r="C840" s="14">
        <v>44753</v>
      </c>
      <c r="D840" s="15">
        <v>3</v>
      </c>
      <c r="E840" t="str">
        <f t="shared" si="13"/>
        <v>1204-149779-44753</v>
      </c>
    </row>
    <row r="841" spans="1:5" ht="14.25" customHeight="1">
      <c r="A841" s="13">
        <v>1204</v>
      </c>
      <c r="B841" s="13">
        <v>149779</v>
      </c>
      <c r="C841" s="14">
        <v>44760</v>
      </c>
      <c r="D841" s="15">
        <v>3</v>
      </c>
      <c r="E841" t="str">
        <f t="shared" si="13"/>
        <v>1204-149779-44760</v>
      </c>
    </row>
    <row r="842" spans="1:5" ht="14.25" customHeight="1">
      <c r="A842" s="13">
        <v>1204</v>
      </c>
      <c r="B842" s="13">
        <v>149779</v>
      </c>
      <c r="C842" s="14">
        <v>44767</v>
      </c>
      <c r="D842" s="15">
        <v>3</v>
      </c>
      <c r="E842" t="str">
        <f t="shared" si="13"/>
        <v>1204-149779-44767</v>
      </c>
    </row>
    <row r="843" spans="1:5" ht="14.25" customHeight="1">
      <c r="A843" s="13">
        <v>1204</v>
      </c>
      <c r="B843" s="13">
        <v>149779</v>
      </c>
      <c r="C843" s="14">
        <v>44774</v>
      </c>
      <c r="D843" s="15">
        <v>3</v>
      </c>
      <c r="E843" t="str">
        <f t="shared" si="13"/>
        <v>1204-149779-44774</v>
      </c>
    </row>
    <row r="844" spans="1:5" ht="14.25" customHeight="1">
      <c r="A844" s="13">
        <v>1204</v>
      </c>
      <c r="B844" s="13">
        <v>149779</v>
      </c>
      <c r="C844" s="14">
        <v>44781</v>
      </c>
      <c r="D844" s="15">
        <v>3</v>
      </c>
      <c r="E844" t="str">
        <f t="shared" si="13"/>
        <v>1204-149779-44781</v>
      </c>
    </row>
    <row r="845" spans="1:5" ht="14.25" customHeight="1">
      <c r="A845" s="13">
        <v>1204</v>
      </c>
      <c r="B845" s="13">
        <v>149779</v>
      </c>
      <c r="C845" s="14">
        <v>44788</v>
      </c>
      <c r="D845" s="15">
        <v>3</v>
      </c>
      <c r="E845" t="str">
        <f t="shared" si="13"/>
        <v>1204-149779-44788</v>
      </c>
    </row>
    <row r="846" spans="1:5" ht="14.25" customHeight="1">
      <c r="A846" s="16">
        <v>1204</v>
      </c>
      <c r="B846" s="13">
        <v>189933</v>
      </c>
      <c r="C846" s="14">
        <v>44739</v>
      </c>
      <c r="D846" s="15">
        <v>11</v>
      </c>
      <c r="E846" t="str">
        <f t="shared" si="13"/>
        <v>1204-189933-44739</v>
      </c>
    </row>
    <row r="847" spans="1:5" ht="14.25" customHeight="1">
      <c r="A847" s="13">
        <v>1204</v>
      </c>
      <c r="B847" s="13">
        <v>189933</v>
      </c>
      <c r="C847" s="14">
        <v>44746</v>
      </c>
      <c r="D847" s="15">
        <v>24</v>
      </c>
      <c r="E847" t="str">
        <f t="shared" si="13"/>
        <v>1204-189933-44746</v>
      </c>
    </row>
    <row r="848" spans="1:5" ht="14.25" customHeight="1">
      <c r="A848" s="13">
        <v>1204</v>
      </c>
      <c r="B848" s="13">
        <v>189933</v>
      </c>
      <c r="C848" s="14">
        <v>44753</v>
      </c>
      <c r="D848" s="15">
        <v>26</v>
      </c>
      <c r="E848" t="str">
        <f t="shared" si="13"/>
        <v>1204-189933-44753</v>
      </c>
    </row>
    <row r="849" spans="1:5" ht="14.25" customHeight="1">
      <c r="A849" s="13">
        <v>1204</v>
      </c>
      <c r="B849" s="13">
        <v>189933</v>
      </c>
      <c r="C849" s="14">
        <v>44760</v>
      </c>
      <c r="D849" s="15">
        <v>29</v>
      </c>
      <c r="E849" t="str">
        <f t="shared" si="13"/>
        <v>1204-189933-44760</v>
      </c>
    </row>
    <row r="850" spans="1:5" ht="14.25" customHeight="1">
      <c r="A850" s="13">
        <v>1204</v>
      </c>
      <c r="B850" s="13">
        <v>189933</v>
      </c>
      <c r="C850" s="14">
        <v>44767</v>
      </c>
      <c r="D850" s="15">
        <v>27</v>
      </c>
      <c r="E850" t="str">
        <f t="shared" si="13"/>
        <v>1204-189933-44767</v>
      </c>
    </row>
    <row r="851" spans="1:5" ht="14.25" customHeight="1">
      <c r="A851" s="13">
        <v>1204</v>
      </c>
      <c r="B851" s="13">
        <v>189933</v>
      </c>
      <c r="C851" s="14">
        <v>44774</v>
      </c>
      <c r="D851" s="15">
        <v>18</v>
      </c>
      <c r="E851" t="str">
        <f t="shared" si="13"/>
        <v>1204-189933-44774</v>
      </c>
    </row>
    <row r="852" spans="1:5" ht="14.25" customHeight="1">
      <c r="A852" s="13">
        <v>1204</v>
      </c>
      <c r="B852" s="13">
        <v>189933</v>
      </c>
      <c r="C852" s="14">
        <v>44781</v>
      </c>
      <c r="D852" s="15">
        <v>18</v>
      </c>
      <c r="E852" t="str">
        <f t="shared" si="13"/>
        <v>1204-189933-44781</v>
      </c>
    </row>
    <row r="853" spans="1:5" ht="14.25" customHeight="1">
      <c r="A853" s="13">
        <v>1204</v>
      </c>
      <c r="B853" s="13">
        <v>189933</v>
      </c>
      <c r="C853" s="14">
        <v>44788</v>
      </c>
      <c r="D853" s="15">
        <v>10</v>
      </c>
      <c r="E853" t="str">
        <f t="shared" si="13"/>
        <v>1204-189933-44788</v>
      </c>
    </row>
    <row r="854" spans="1:5" ht="14.25" customHeight="1">
      <c r="A854" s="13">
        <v>1204</v>
      </c>
      <c r="B854" s="13">
        <v>202577</v>
      </c>
      <c r="C854" s="14">
        <v>44739</v>
      </c>
      <c r="D854" s="15">
        <v>12</v>
      </c>
      <c r="E854" t="str">
        <f t="shared" si="13"/>
        <v>1204-202577-44739</v>
      </c>
    </row>
    <row r="855" spans="1:5" ht="14.25" customHeight="1">
      <c r="A855" s="13">
        <v>1204</v>
      </c>
      <c r="B855" s="13">
        <v>202577</v>
      </c>
      <c r="C855" s="14">
        <v>44746</v>
      </c>
      <c r="D855" s="15">
        <v>25</v>
      </c>
      <c r="E855" t="str">
        <f t="shared" si="13"/>
        <v>1204-202577-44746</v>
      </c>
    </row>
    <row r="856" spans="1:5" ht="14.25" customHeight="1">
      <c r="A856" s="13">
        <v>1204</v>
      </c>
      <c r="B856" s="13">
        <v>202577</v>
      </c>
      <c r="C856" s="14">
        <v>44753</v>
      </c>
      <c r="D856" s="15">
        <v>11</v>
      </c>
      <c r="E856" t="str">
        <f t="shared" si="13"/>
        <v>1204-202577-44753</v>
      </c>
    </row>
    <row r="857" spans="1:5" ht="14.25" customHeight="1">
      <c r="A857" s="13">
        <v>1204</v>
      </c>
      <c r="B857" s="13">
        <v>202577</v>
      </c>
      <c r="C857" s="14">
        <v>44760</v>
      </c>
      <c r="D857" s="15">
        <v>20</v>
      </c>
      <c r="E857" t="str">
        <f t="shared" si="13"/>
        <v>1204-202577-44760</v>
      </c>
    </row>
    <row r="858" spans="1:5" ht="14.25" customHeight="1">
      <c r="A858" s="13">
        <v>1204</v>
      </c>
      <c r="B858" s="13">
        <v>202577</v>
      </c>
      <c r="C858" s="14">
        <v>44767</v>
      </c>
      <c r="D858" s="15">
        <v>12</v>
      </c>
      <c r="E858" t="str">
        <f t="shared" si="13"/>
        <v>1204-202577-44767</v>
      </c>
    </row>
    <row r="859" spans="1:5" ht="14.25" customHeight="1">
      <c r="A859" s="13">
        <v>1204</v>
      </c>
      <c r="B859" s="13">
        <v>202577</v>
      </c>
      <c r="C859" s="14">
        <v>44774</v>
      </c>
      <c r="D859" s="15">
        <v>33</v>
      </c>
      <c r="E859" t="str">
        <f t="shared" si="13"/>
        <v>1204-202577-44774</v>
      </c>
    </row>
    <row r="860" spans="1:5" ht="14.25" customHeight="1">
      <c r="A860" s="13">
        <v>1204</v>
      </c>
      <c r="B860" s="13">
        <v>202577</v>
      </c>
      <c r="C860" s="14">
        <v>44781</v>
      </c>
      <c r="D860" s="15">
        <v>30</v>
      </c>
      <c r="E860" t="str">
        <f t="shared" si="13"/>
        <v>1204-202577-44781</v>
      </c>
    </row>
    <row r="861" spans="1:5" ht="14.25" customHeight="1">
      <c r="A861" s="13">
        <v>1204</v>
      </c>
      <c r="B861" s="13">
        <v>202577</v>
      </c>
      <c r="C861" s="14">
        <v>44788</v>
      </c>
      <c r="D861" s="15">
        <v>30</v>
      </c>
      <c r="E861" t="str">
        <f t="shared" si="13"/>
        <v>1204-202577-44788</v>
      </c>
    </row>
    <row r="862" spans="1:5" ht="14.25" customHeight="1">
      <c r="A862" s="13">
        <v>1204</v>
      </c>
      <c r="B862" s="13">
        <v>234334</v>
      </c>
      <c r="C862" s="14">
        <v>44739</v>
      </c>
      <c r="D862" s="15">
        <v>26</v>
      </c>
      <c r="E862" t="str">
        <f t="shared" si="13"/>
        <v>1204-234334-44739</v>
      </c>
    </row>
    <row r="863" spans="1:5" ht="14.25" customHeight="1">
      <c r="A863" s="13">
        <v>1204</v>
      </c>
      <c r="B863" s="13">
        <v>234334</v>
      </c>
      <c r="C863" s="14">
        <v>44746</v>
      </c>
      <c r="D863" s="15">
        <v>26</v>
      </c>
      <c r="E863" t="str">
        <f t="shared" si="13"/>
        <v>1204-234334-44746</v>
      </c>
    </row>
    <row r="864" spans="1:5" ht="14.25" customHeight="1">
      <c r="A864" s="13">
        <v>1204</v>
      </c>
      <c r="B864" s="13">
        <v>234334</v>
      </c>
      <c r="C864" s="14">
        <v>44753</v>
      </c>
      <c r="D864" s="15">
        <v>20</v>
      </c>
      <c r="E864" t="str">
        <f t="shared" si="13"/>
        <v>1204-234334-44753</v>
      </c>
    </row>
    <row r="865" spans="1:5" ht="14.25" customHeight="1">
      <c r="A865" s="13">
        <v>1204</v>
      </c>
      <c r="B865" s="13">
        <v>234334</v>
      </c>
      <c r="C865" s="14">
        <v>44760</v>
      </c>
      <c r="D865" s="15">
        <v>28</v>
      </c>
      <c r="E865" t="str">
        <f t="shared" si="13"/>
        <v>1204-234334-44760</v>
      </c>
    </row>
    <row r="866" spans="1:5" ht="14.25" customHeight="1">
      <c r="A866" s="13">
        <v>1204</v>
      </c>
      <c r="B866" s="13">
        <v>234334</v>
      </c>
      <c r="C866" s="14">
        <v>44767</v>
      </c>
      <c r="D866" s="15">
        <v>18</v>
      </c>
      <c r="E866" t="str">
        <f t="shared" si="13"/>
        <v>1204-234334-44767</v>
      </c>
    </row>
    <row r="867" spans="1:5" ht="14.25" customHeight="1">
      <c r="A867" s="13">
        <v>1204</v>
      </c>
      <c r="B867" s="13">
        <v>234334</v>
      </c>
      <c r="C867" s="14">
        <v>44774</v>
      </c>
      <c r="D867" s="15">
        <v>27</v>
      </c>
      <c r="E867" t="str">
        <f t="shared" si="13"/>
        <v>1204-234334-44774</v>
      </c>
    </row>
    <row r="868" spans="1:5" ht="14.25" customHeight="1">
      <c r="A868" s="13">
        <v>1204</v>
      </c>
      <c r="B868" s="13">
        <v>234334</v>
      </c>
      <c r="C868" s="14">
        <v>44781</v>
      </c>
      <c r="D868" s="15">
        <v>24</v>
      </c>
      <c r="E868" t="str">
        <f t="shared" si="13"/>
        <v>1204-234334-44781</v>
      </c>
    </row>
    <row r="869" spans="1:5" ht="14.25" customHeight="1">
      <c r="A869" s="13">
        <v>1204</v>
      </c>
      <c r="B869" s="13">
        <v>234334</v>
      </c>
      <c r="C869" s="14">
        <v>44788</v>
      </c>
      <c r="D869" s="15">
        <v>28</v>
      </c>
      <c r="E869" t="str">
        <f t="shared" si="13"/>
        <v>1204-234334-44788</v>
      </c>
    </row>
    <row r="870" spans="1:5" ht="14.25" customHeight="1">
      <c r="A870" s="13">
        <v>1204</v>
      </c>
      <c r="B870" s="13">
        <v>249444</v>
      </c>
      <c r="C870" s="14">
        <v>44739</v>
      </c>
      <c r="D870" s="15">
        <v>60</v>
      </c>
      <c r="E870" t="str">
        <f t="shared" si="13"/>
        <v>1204-249444-44739</v>
      </c>
    </row>
    <row r="871" spans="1:5" ht="14.25" customHeight="1">
      <c r="A871" s="13">
        <v>1204</v>
      </c>
      <c r="B871" s="13">
        <v>249444</v>
      </c>
      <c r="C871" s="14">
        <v>44746</v>
      </c>
      <c r="D871" s="15">
        <v>104</v>
      </c>
      <c r="E871" t="str">
        <f t="shared" si="13"/>
        <v>1204-249444-44746</v>
      </c>
    </row>
    <row r="872" spans="1:5" ht="14.25" customHeight="1">
      <c r="A872" s="13">
        <v>1204</v>
      </c>
      <c r="B872" s="13">
        <v>249444</v>
      </c>
      <c r="C872" s="14">
        <v>44753</v>
      </c>
      <c r="D872" s="15">
        <v>164</v>
      </c>
      <c r="E872" t="str">
        <f t="shared" si="13"/>
        <v>1204-249444-44753</v>
      </c>
    </row>
    <row r="873" spans="1:5" ht="14.25" customHeight="1">
      <c r="A873" s="13">
        <v>1204</v>
      </c>
      <c r="B873" s="13">
        <v>249444</v>
      </c>
      <c r="C873" s="14">
        <v>44760</v>
      </c>
      <c r="D873" s="15">
        <v>63</v>
      </c>
      <c r="E873" t="str">
        <f t="shared" si="13"/>
        <v>1204-249444-44760</v>
      </c>
    </row>
    <row r="874" spans="1:5" ht="14.25" customHeight="1">
      <c r="A874" s="13">
        <v>1204</v>
      </c>
      <c r="B874" s="13">
        <v>249444</v>
      </c>
      <c r="C874" s="14">
        <v>44767</v>
      </c>
      <c r="D874" s="15">
        <v>158</v>
      </c>
      <c r="E874" t="str">
        <f t="shared" si="13"/>
        <v>1204-249444-44767</v>
      </c>
    </row>
    <row r="875" spans="1:5" ht="14.25" customHeight="1">
      <c r="A875" s="13">
        <v>1204</v>
      </c>
      <c r="B875" s="13">
        <v>249444</v>
      </c>
      <c r="C875" s="14">
        <v>44774</v>
      </c>
      <c r="D875" s="15">
        <v>160</v>
      </c>
      <c r="E875" t="str">
        <f t="shared" si="13"/>
        <v>1204-249444-44774</v>
      </c>
    </row>
    <row r="876" spans="1:5" ht="14.25" customHeight="1">
      <c r="A876" s="13">
        <v>1204</v>
      </c>
      <c r="B876" s="13">
        <v>249444</v>
      </c>
      <c r="C876" s="14">
        <v>44781</v>
      </c>
      <c r="D876" s="15">
        <v>64</v>
      </c>
      <c r="E876" t="str">
        <f t="shared" si="13"/>
        <v>1204-249444-44781</v>
      </c>
    </row>
    <row r="877" spans="1:5" ht="14.25" customHeight="1">
      <c r="A877" s="13">
        <v>1204</v>
      </c>
      <c r="B877" s="13">
        <v>249444</v>
      </c>
      <c r="C877" s="14">
        <v>44788</v>
      </c>
      <c r="D877" s="15">
        <v>58</v>
      </c>
      <c r="E877" t="str">
        <f t="shared" si="13"/>
        <v>1204-249444-44788</v>
      </c>
    </row>
    <row r="878" spans="1:5" ht="14.25" customHeight="1">
      <c r="A878" s="16">
        <v>1204</v>
      </c>
      <c r="B878" s="13">
        <v>249795</v>
      </c>
      <c r="C878" s="14">
        <v>44739</v>
      </c>
      <c r="D878" s="15">
        <v>17</v>
      </c>
      <c r="E878" t="str">
        <f t="shared" si="13"/>
        <v>1204-249795-44739</v>
      </c>
    </row>
    <row r="879" spans="1:5" ht="14.25" customHeight="1">
      <c r="A879" s="13">
        <v>1204</v>
      </c>
      <c r="B879" s="13">
        <v>249795</v>
      </c>
      <c r="C879" s="14">
        <v>44746</v>
      </c>
      <c r="D879" s="15">
        <v>15</v>
      </c>
      <c r="E879" t="str">
        <f t="shared" si="13"/>
        <v>1204-249795-44746</v>
      </c>
    </row>
    <row r="880" spans="1:5" ht="14.25" customHeight="1">
      <c r="A880" s="13">
        <v>1204</v>
      </c>
      <c r="B880" s="13">
        <v>249795</v>
      </c>
      <c r="C880" s="14">
        <v>44753</v>
      </c>
      <c r="D880" s="15">
        <v>16</v>
      </c>
      <c r="E880" t="str">
        <f t="shared" si="13"/>
        <v>1204-249795-44753</v>
      </c>
    </row>
    <row r="881" spans="1:5" ht="14.25" customHeight="1">
      <c r="A881" s="13">
        <v>1204</v>
      </c>
      <c r="B881" s="13">
        <v>249795</v>
      </c>
      <c r="C881" s="14">
        <v>44760</v>
      </c>
      <c r="D881" s="15">
        <v>15</v>
      </c>
      <c r="E881" t="str">
        <f t="shared" si="13"/>
        <v>1204-249795-44760</v>
      </c>
    </row>
    <row r="882" spans="1:5" ht="14.25" customHeight="1">
      <c r="A882" s="13">
        <v>1204</v>
      </c>
      <c r="B882" s="13">
        <v>249795</v>
      </c>
      <c r="C882" s="14">
        <v>44767</v>
      </c>
      <c r="D882" s="15">
        <v>19</v>
      </c>
      <c r="E882" t="str">
        <f t="shared" si="13"/>
        <v>1204-249795-44767</v>
      </c>
    </row>
    <row r="883" spans="1:5" ht="14.25" customHeight="1">
      <c r="A883" s="13">
        <v>1204</v>
      </c>
      <c r="B883" s="13">
        <v>249795</v>
      </c>
      <c r="C883" s="14">
        <v>44774</v>
      </c>
      <c r="D883" s="15">
        <v>6</v>
      </c>
      <c r="E883" t="str">
        <f t="shared" si="13"/>
        <v>1204-249795-44774</v>
      </c>
    </row>
    <row r="884" spans="1:5" ht="14.25" customHeight="1">
      <c r="A884" s="13">
        <v>1204</v>
      </c>
      <c r="B884" s="13">
        <v>249795</v>
      </c>
      <c r="C884" s="14">
        <v>44781</v>
      </c>
      <c r="D884" s="15">
        <v>9</v>
      </c>
      <c r="E884" t="str">
        <f t="shared" si="13"/>
        <v>1204-249795-44781</v>
      </c>
    </row>
    <row r="885" spans="1:5" ht="14.25" customHeight="1">
      <c r="A885" s="13">
        <v>1204</v>
      </c>
      <c r="B885" s="13">
        <v>249795</v>
      </c>
      <c r="C885" s="14">
        <v>44788</v>
      </c>
      <c r="D885" s="15">
        <v>18</v>
      </c>
      <c r="E885" t="str">
        <f t="shared" si="13"/>
        <v>1204-249795-44788</v>
      </c>
    </row>
    <row r="886" spans="1:5" ht="14.25" customHeight="1">
      <c r="A886" s="13">
        <v>1204</v>
      </c>
      <c r="B886" s="13">
        <v>250979</v>
      </c>
      <c r="C886" s="14">
        <v>44739</v>
      </c>
      <c r="D886" s="15">
        <v>27</v>
      </c>
      <c r="E886" t="str">
        <f t="shared" si="13"/>
        <v>1204-250979-44739</v>
      </c>
    </row>
    <row r="887" spans="1:5" ht="14.25" customHeight="1">
      <c r="A887" s="13">
        <v>1204</v>
      </c>
      <c r="B887" s="13">
        <v>250979</v>
      </c>
      <c r="C887" s="14">
        <v>44746</v>
      </c>
      <c r="D887" s="15">
        <v>23</v>
      </c>
      <c r="E887" t="str">
        <f t="shared" si="13"/>
        <v>1204-250979-44746</v>
      </c>
    </row>
    <row r="888" spans="1:5" ht="14.25" customHeight="1">
      <c r="A888" s="13">
        <v>1204</v>
      </c>
      <c r="B888" s="13">
        <v>250979</v>
      </c>
      <c r="C888" s="14">
        <v>44753</v>
      </c>
      <c r="D888" s="15">
        <v>25</v>
      </c>
      <c r="E888" t="str">
        <f t="shared" si="13"/>
        <v>1204-250979-44753</v>
      </c>
    </row>
    <row r="889" spans="1:5" ht="14.25" customHeight="1">
      <c r="A889" s="13">
        <v>1204</v>
      </c>
      <c r="B889" s="13">
        <v>250979</v>
      </c>
      <c r="C889" s="14">
        <v>44760</v>
      </c>
      <c r="D889" s="15">
        <v>24</v>
      </c>
      <c r="E889" t="str">
        <f t="shared" si="13"/>
        <v>1204-250979-44760</v>
      </c>
    </row>
    <row r="890" spans="1:5" ht="14.25" customHeight="1">
      <c r="A890" s="13">
        <v>1204</v>
      </c>
      <c r="B890" s="13">
        <v>250979</v>
      </c>
      <c r="C890" s="14">
        <v>44767</v>
      </c>
      <c r="D890" s="15">
        <v>29</v>
      </c>
      <c r="E890" t="str">
        <f t="shared" si="13"/>
        <v>1204-250979-44767</v>
      </c>
    </row>
    <row r="891" spans="1:5" ht="14.25" customHeight="1">
      <c r="A891" s="13">
        <v>1204</v>
      </c>
      <c r="B891" s="13">
        <v>250979</v>
      </c>
      <c r="C891" s="14">
        <v>44774</v>
      </c>
      <c r="D891" s="15">
        <v>18</v>
      </c>
      <c r="E891" t="str">
        <f t="shared" si="13"/>
        <v>1204-250979-44774</v>
      </c>
    </row>
    <row r="892" spans="1:5" ht="14.25" customHeight="1">
      <c r="A892" s="13">
        <v>1204</v>
      </c>
      <c r="B892" s="13">
        <v>250979</v>
      </c>
      <c r="C892" s="14">
        <v>44781</v>
      </c>
      <c r="D892" s="15">
        <v>23</v>
      </c>
      <c r="E892" t="str">
        <f t="shared" si="13"/>
        <v>1204-250979-44781</v>
      </c>
    </row>
    <row r="893" spans="1:5" ht="14.25" customHeight="1">
      <c r="A893" s="13">
        <v>1204</v>
      </c>
      <c r="B893" s="13">
        <v>250979</v>
      </c>
      <c r="C893" s="14">
        <v>44788</v>
      </c>
      <c r="D893" s="15">
        <v>16</v>
      </c>
      <c r="E893" t="str">
        <f t="shared" si="13"/>
        <v>1204-250979-44788</v>
      </c>
    </row>
    <row r="894" spans="1:5" ht="14.25" customHeight="1">
      <c r="A894" s="13">
        <v>1204</v>
      </c>
      <c r="B894" s="13">
        <v>250981</v>
      </c>
      <c r="C894" s="14">
        <v>44739</v>
      </c>
      <c r="D894" s="15">
        <v>10</v>
      </c>
      <c r="E894" t="str">
        <f t="shared" si="13"/>
        <v>1204-250981-44739</v>
      </c>
    </row>
    <row r="895" spans="1:5" ht="14.25" customHeight="1">
      <c r="A895" s="13">
        <v>1204</v>
      </c>
      <c r="B895" s="13">
        <v>250981</v>
      </c>
      <c r="C895" s="14">
        <v>44746</v>
      </c>
      <c r="D895" s="15">
        <v>2</v>
      </c>
      <c r="E895" t="str">
        <f t="shared" si="13"/>
        <v>1204-250981-44746</v>
      </c>
    </row>
    <row r="896" spans="1:5" ht="14.25" customHeight="1">
      <c r="A896" s="13">
        <v>1204</v>
      </c>
      <c r="B896" s="13">
        <v>250981</v>
      </c>
      <c r="C896" s="14">
        <v>44753</v>
      </c>
      <c r="D896" s="15">
        <v>9</v>
      </c>
      <c r="E896" t="str">
        <f t="shared" si="13"/>
        <v>1204-250981-44753</v>
      </c>
    </row>
    <row r="897" spans="1:5" ht="14.25" customHeight="1">
      <c r="A897" s="13">
        <v>1204</v>
      </c>
      <c r="B897" s="13">
        <v>250981</v>
      </c>
      <c r="C897" s="14">
        <v>44760</v>
      </c>
      <c r="D897" s="15">
        <v>10</v>
      </c>
      <c r="E897" t="str">
        <f t="shared" si="13"/>
        <v>1204-250981-44760</v>
      </c>
    </row>
    <row r="898" spans="1:5" ht="14.25" customHeight="1">
      <c r="A898" s="13">
        <v>1204</v>
      </c>
      <c r="B898" s="13">
        <v>250981</v>
      </c>
      <c r="C898" s="14">
        <v>44767</v>
      </c>
      <c r="D898" s="15">
        <v>6</v>
      </c>
      <c r="E898" t="str">
        <f t="shared" si="13"/>
        <v>1204-250981-44767</v>
      </c>
    </row>
    <row r="899" spans="1:5" ht="14.25" customHeight="1">
      <c r="A899" s="13">
        <v>1204</v>
      </c>
      <c r="B899" s="13">
        <v>250981</v>
      </c>
      <c r="C899" s="14">
        <v>44774</v>
      </c>
      <c r="D899" s="15">
        <v>7</v>
      </c>
      <c r="E899" t="str">
        <f t="shared" ref="E899:E962" si="14">A899&amp;"-"&amp;B899&amp;"-"&amp;INT(C899)</f>
        <v>1204-250981-44774</v>
      </c>
    </row>
    <row r="900" spans="1:5" ht="14.25" customHeight="1">
      <c r="A900" s="13">
        <v>1204</v>
      </c>
      <c r="B900" s="13">
        <v>250981</v>
      </c>
      <c r="C900" s="14">
        <v>44781</v>
      </c>
      <c r="D900" s="15">
        <v>8</v>
      </c>
      <c r="E900" t="str">
        <f t="shared" si="14"/>
        <v>1204-250981-44781</v>
      </c>
    </row>
    <row r="901" spans="1:5" ht="14.25" customHeight="1">
      <c r="A901" s="13">
        <v>1204</v>
      </c>
      <c r="B901" s="13">
        <v>250981</v>
      </c>
      <c r="C901" s="14">
        <v>44788</v>
      </c>
      <c r="D901" s="15">
        <v>6</v>
      </c>
      <c r="E901" t="str">
        <f t="shared" si="14"/>
        <v>1204-250981-44788</v>
      </c>
    </row>
    <row r="902" spans="1:5" ht="14.25" customHeight="1">
      <c r="A902" s="13">
        <v>1204</v>
      </c>
      <c r="B902" s="13">
        <v>262294</v>
      </c>
      <c r="C902" s="14">
        <v>44739</v>
      </c>
      <c r="D902" s="15">
        <v>33</v>
      </c>
      <c r="E902" t="str">
        <f t="shared" si="14"/>
        <v>1204-262294-44739</v>
      </c>
    </row>
    <row r="903" spans="1:5" ht="14.25" customHeight="1">
      <c r="A903" s="13">
        <v>1204</v>
      </c>
      <c r="B903" s="13">
        <v>262294</v>
      </c>
      <c r="C903" s="14">
        <v>44746</v>
      </c>
      <c r="D903" s="15">
        <v>31</v>
      </c>
      <c r="E903" t="str">
        <f t="shared" si="14"/>
        <v>1204-262294-44746</v>
      </c>
    </row>
    <row r="904" spans="1:5" ht="14.25" customHeight="1">
      <c r="A904" s="13">
        <v>1204</v>
      </c>
      <c r="B904" s="13">
        <v>262294</v>
      </c>
      <c r="C904" s="14">
        <v>44753</v>
      </c>
      <c r="D904" s="15">
        <v>34</v>
      </c>
      <c r="E904" t="str">
        <f t="shared" si="14"/>
        <v>1204-262294-44753</v>
      </c>
    </row>
    <row r="905" spans="1:5" ht="14.25" customHeight="1">
      <c r="A905" s="13">
        <v>1204</v>
      </c>
      <c r="B905" s="13">
        <v>262294</v>
      </c>
      <c r="C905" s="14">
        <v>44760</v>
      </c>
      <c r="D905" s="15">
        <v>12</v>
      </c>
      <c r="E905" t="str">
        <f t="shared" si="14"/>
        <v>1204-262294-44760</v>
      </c>
    </row>
    <row r="906" spans="1:5" ht="14.25" customHeight="1">
      <c r="A906" s="13">
        <v>1204</v>
      </c>
      <c r="B906" s="13">
        <v>262294</v>
      </c>
      <c r="C906" s="14">
        <v>44767</v>
      </c>
      <c r="D906" s="15">
        <v>8</v>
      </c>
      <c r="E906" t="str">
        <f t="shared" si="14"/>
        <v>1204-262294-44767</v>
      </c>
    </row>
    <row r="907" spans="1:5" ht="14.25" customHeight="1">
      <c r="A907" s="13">
        <v>1204</v>
      </c>
      <c r="B907" s="13">
        <v>262294</v>
      </c>
      <c r="C907" s="14">
        <v>44774</v>
      </c>
      <c r="D907" s="15">
        <v>50</v>
      </c>
      <c r="E907" t="str">
        <f t="shared" si="14"/>
        <v>1204-262294-44774</v>
      </c>
    </row>
    <row r="908" spans="1:5" ht="14.25" customHeight="1">
      <c r="A908" s="13">
        <v>1204</v>
      </c>
      <c r="B908" s="13">
        <v>262294</v>
      </c>
      <c r="C908" s="14">
        <v>44781</v>
      </c>
      <c r="D908" s="15">
        <v>43</v>
      </c>
      <c r="E908" t="str">
        <f t="shared" si="14"/>
        <v>1204-262294-44781</v>
      </c>
    </row>
    <row r="909" spans="1:5" ht="14.25" customHeight="1">
      <c r="A909" s="13">
        <v>1204</v>
      </c>
      <c r="B909" s="13">
        <v>262294</v>
      </c>
      <c r="C909" s="14">
        <v>44788</v>
      </c>
      <c r="D909" s="15">
        <v>38</v>
      </c>
      <c r="E909" t="str">
        <f t="shared" si="14"/>
        <v>1204-262294-44788</v>
      </c>
    </row>
    <row r="910" spans="1:5" ht="14.25" customHeight="1">
      <c r="A910" s="13">
        <v>1204</v>
      </c>
      <c r="B910" s="13">
        <v>268831</v>
      </c>
      <c r="C910" s="14">
        <v>44739</v>
      </c>
      <c r="D910" s="15">
        <v>193</v>
      </c>
      <c r="E910" t="str">
        <f t="shared" si="14"/>
        <v>1204-268831-44739</v>
      </c>
    </row>
    <row r="911" spans="1:5" ht="14.25" customHeight="1">
      <c r="A911" s="13">
        <v>1204</v>
      </c>
      <c r="B911" s="13">
        <v>268831</v>
      </c>
      <c r="C911" s="14">
        <v>44746</v>
      </c>
      <c r="D911" s="15">
        <v>234</v>
      </c>
      <c r="E911" t="str">
        <f t="shared" si="14"/>
        <v>1204-268831-44746</v>
      </c>
    </row>
    <row r="912" spans="1:5" ht="14.25" customHeight="1">
      <c r="A912" s="13">
        <v>1204</v>
      </c>
      <c r="B912" s="13">
        <v>268831</v>
      </c>
      <c r="C912" s="14">
        <v>44753</v>
      </c>
      <c r="D912" s="15">
        <v>194</v>
      </c>
      <c r="E912" t="str">
        <f t="shared" si="14"/>
        <v>1204-268831-44753</v>
      </c>
    </row>
    <row r="913" spans="1:5" ht="14.25" customHeight="1">
      <c r="A913" s="13">
        <v>1204</v>
      </c>
      <c r="B913" s="13">
        <v>268831</v>
      </c>
      <c r="C913" s="14">
        <v>44760</v>
      </c>
      <c r="D913" s="15">
        <v>187</v>
      </c>
      <c r="E913" t="str">
        <f t="shared" si="14"/>
        <v>1204-268831-44760</v>
      </c>
    </row>
    <row r="914" spans="1:5" ht="14.25" customHeight="1">
      <c r="A914" s="13">
        <v>1204</v>
      </c>
      <c r="B914" s="13">
        <v>268831</v>
      </c>
      <c r="C914" s="14">
        <v>44767</v>
      </c>
      <c r="D914" s="15">
        <v>127</v>
      </c>
      <c r="E914" t="str">
        <f t="shared" si="14"/>
        <v>1204-268831-44767</v>
      </c>
    </row>
    <row r="915" spans="1:5" ht="14.25" customHeight="1">
      <c r="A915" s="13">
        <v>1204</v>
      </c>
      <c r="B915" s="13">
        <v>268831</v>
      </c>
      <c r="C915" s="14">
        <v>44774</v>
      </c>
      <c r="D915" s="15">
        <v>203</v>
      </c>
      <c r="E915" t="str">
        <f t="shared" si="14"/>
        <v>1204-268831-44774</v>
      </c>
    </row>
    <row r="916" spans="1:5" ht="14.25" customHeight="1">
      <c r="A916" s="13">
        <v>1204</v>
      </c>
      <c r="B916" s="13">
        <v>268831</v>
      </c>
      <c r="C916" s="14">
        <v>44781</v>
      </c>
      <c r="D916" s="15">
        <v>203</v>
      </c>
      <c r="E916" t="str">
        <f t="shared" si="14"/>
        <v>1204-268831-44781</v>
      </c>
    </row>
    <row r="917" spans="1:5" ht="14.25" customHeight="1">
      <c r="A917" s="13">
        <v>1204</v>
      </c>
      <c r="B917" s="13">
        <v>268831</v>
      </c>
      <c r="C917" s="14">
        <v>44788</v>
      </c>
      <c r="D917" s="15">
        <v>224</v>
      </c>
      <c r="E917" t="str">
        <f t="shared" si="14"/>
        <v>1204-268831-44788</v>
      </c>
    </row>
    <row r="918" spans="1:5" ht="14.25" customHeight="1">
      <c r="A918" s="13">
        <v>1204</v>
      </c>
      <c r="B918" s="13">
        <v>273701</v>
      </c>
      <c r="C918" s="14">
        <v>44739</v>
      </c>
      <c r="D918" s="15">
        <v>60</v>
      </c>
      <c r="E918" t="str">
        <f t="shared" si="14"/>
        <v>1204-273701-44739</v>
      </c>
    </row>
    <row r="919" spans="1:5" ht="14.25" customHeight="1">
      <c r="A919" s="13">
        <v>1204</v>
      </c>
      <c r="B919" s="13">
        <v>273701</v>
      </c>
      <c r="C919" s="14">
        <v>44746</v>
      </c>
      <c r="D919" s="15">
        <v>21</v>
      </c>
      <c r="E919" t="str">
        <f t="shared" si="14"/>
        <v>1204-273701-44746</v>
      </c>
    </row>
    <row r="920" spans="1:5" ht="14.25" customHeight="1">
      <c r="A920" s="13">
        <v>1204</v>
      </c>
      <c r="B920" s="13">
        <v>273701</v>
      </c>
      <c r="C920" s="14">
        <v>44753</v>
      </c>
      <c r="D920" s="15">
        <v>24</v>
      </c>
      <c r="E920" t="str">
        <f t="shared" si="14"/>
        <v>1204-273701-44753</v>
      </c>
    </row>
    <row r="921" spans="1:5" ht="14.25" customHeight="1">
      <c r="A921" s="13">
        <v>1204</v>
      </c>
      <c r="B921" s="13">
        <v>273701</v>
      </c>
      <c r="C921" s="14">
        <v>44760</v>
      </c>
      <c r="D921" s="15">
        <v>70</v>
      </c>
      <c r="E921" t="str">
        <f t="shared" si="14"/>
        <v>1204-273701-44760</v>
      </c>
    </row>
    <row r="922" spans="1:5" ht="14.25" customHeight="1">
      <c r="A922" s="13">
        <v>1204</v>
      </c>
      <c r="B922" s="13">
        <v>273701</v>
      </c>
      <c r="C922" s="14">
        <v>44767</v>
      </c>
      <c r="D922" s="15">
        <v>28</v>
      </c>
      <c r="E922" t="str">
        <f t="shared" si="14"/>
        <v>1204-273701-44767</v>
      </c>
    </row>
    <row r="923" spans="1:5" ht="14.25" customHeight="1">
      <c r="A923" s="13">
        <v>1204</v>
      </c>
      <c r="B923" s="13">
        <v>273701</v>
      </c>
      <c r="C923" s="14">
        <v>44774</v>
      </c>
      <c r="D923" s="15">
        <v>49</v>
      </c>
      <c r="E923" t="str">
        <f t="shared" si="14"/>
        <v>1204-273701-44774</v>
      </c>
    </row>
    <row r="924" spans="1:5" ht="14.25" customHeight="1">
      <c r="A924" s="13">
        <v>1204</v>
      </c>
      <c r="B924" s="13">
        <v>273701</v>
      </c>
      <c r="C924" s="14">
        <v>44781</v>
      </c>
      <c r="D924" s="15">
        <v>39</v>
      </c>
      <c r="E924" t="str">
        <f t="shared" si="14"/>
        <v>1204-273701-44781</v>
      </c>
    </row>
    <row r="925" spans="1:5" ht="14.25" customHeight="1">
      <c r="A925" s="13">
        <v>1204</v>
      </c>
      <c r="B925" s="13">
        <v>273701</v>
      </c>
      <c r="C925" s="14">
        <v>44788</v>
      </c>
      <c r="D925" s="15">
        <v>55</v>
      </c>
      <c r="E925" t="str">
        <f t="shared" si="14"/>
        <v>1204-273701-44788</v>
      </c>
    </row>
    <row r="926" spans="1:5" ht="14.25" customHeight="1">
      <c r="A926" s="13">
        <v>1204</v>
      </c>
      <c r="B926" s="13">
        <v>291726</v>
      </c>
      <c r="C926" s="14">
        <v>44739</v>
      </c>
      <c r="D926" s="15">
        <v>6</v>
      </c>
      <c r="E926" t="str">
        <f t="shared" si="14"/>
        <v>1204-291726-44739</v>
      </c>
    </row>
    <row r="927" spans="1:5" ht="14.25" customHeight="1">
      <c r="A927" s="13">
        <v>1204</v>
      </c>
      <c r="B927" s="13">
        <v>291726</v>
      </c>
      <c r="C927" s="14">
        <v>44746</v>
      </c>
      <c r="D927" s="15">
        <v>6</v>
      </c>
      <c r="E927" t="str">
        <f t="shared" si="14"/>
        <v>1204-291726-44746</v>
      </c>
    </row>
    <row r="928" spans="1:5" ht="14.25" customHeight="1">
      <c r="A928" s="13">
        <v>1204</v>
      </c>
      <c r="B928" s="13">
        <v>291726</v>
      </c>
      <c r="C928" s="14">
        <v>44753</v>
      </c>
      <c r="D928" s="15">
        <v>6</v>
      </c>
      <c r="E928" t="str">
        <f t="shared" si="14"/>
        <v>1204-291726-44753</v>
      </c>
    </row>
    <row r="929" spans="1:5" ht="14.25" customHeight="1">
      <c r="A929" s="13">
        <v>1204</v>
      </c>
      <c r="B929" s="13">
        <v>291726</v>
      </c>
      <c r="C929" s="14">
        <v>44760</v>
      </c>
      <c r="D929" s="15">
        <v>6</v>
      </c>
      <c r="E929" t="str">
        <f t="shared" si="14"/>
        <v>1204-291726-44760</v>
      </c>
    </row>
    <row r="930" spans="1:5" ht="14.25" customHeight="1">
      <c r="A930" s="13">
        <v>1204</v>
      </c>
      <c r="B930" s="13">
        <v>291726</v>
      </c>
      <c r="C930" s="14">
        <v>44767</v>
      </c>
      <c r="D930" s="15">
        <v>6</v>
      </c>
      <c r="E930" t="str">
        <f t="shared" si="14"/>
        <v>1204-291726-44767</v>
      </c>
    </row>
    <row r="931" spans="1:5" ht="14.25" customHeight="1">
      <c r="A931" s="13">
        <v>1204</v>
      </c>
      <c r="B931" s="13">
        <v>291726</v>
      </c>
      <c r="C931" s="14">
        <v>44774</v>
      </c>
      <c r="D931" s="15">
        <v>6</v>
      </c>
      <c r="E931" t="str">
        <f t="shared" si="14"/>
        <v>1204-291726-44774</v>
      </c>
    </row>
    <row r="932" spans="1:5" ht="14.25" customHeight="1">
      <c r="A932" s="13">
        <v>1204</v>
      </c>
      <c r="B932" s="13">
        <v>291726</v>
      </c>
      <c r="C932" s="14">
        <v>44781</v>
      </c>
      <c r="D932" s="15">
        <v>6</v>
      </c>
      <c r="E932" t="str">
        <f t="shared" si="14"/>
        <v>1204-291726-44781</v>
      </c>
    </row>
    <row r="933" spans="1:5" ht="14.25" customHeight="1">
      <c r="A933" s="13">
        <v>1204</v>
      </c>
      <c r="B933" s="13">
        <v>291726</v>
      </c>
      <c r="C933" s="14">
        <v>44788</v>
      </c>
      <c r="D933" s="15">
        <v>6</v>
      </c>
      <c r="E933" t="str">
        <f t="shared" si="14"/>
        <v>1204-291726-44788</v>
      </c>
    </row>
    <row r="934" spans="1:5" ht="14.25" customHeight="1">
      <c r="A934" s="13">
        <v>1204</v>
      </c>
      <c r="B934" s="13">
        <v>291728</v>
      </c>
      <c r="C934" s="14">
        <v>44739</v>
      </c>
      <c r="D934" s="15">
        <v>32</v>
      </c>
      <c r="E934" t="str">
        <f t="shared" si="14"/>
        <v>1204-291728-44739</v>
      </c>
    </row>
    <row r="935" spans="1:5" ht="14.25" customHeight="1">
      <c r="A935" s="13">
        <v>1204</v>
      </c>
      <c r="B935" s="13">
        <v>291728</v>
      </c>
      <c r="C935" s="14">
        <v>44746</v>
      </c>
      <c r="D935" s="15">
        <v>38</v>
      </c>
      <c r="E935" t="str">
        <f t="shared" si="14"/>
        <v>1204-291728-44746</v>
      </c>
    </row>
    <row r="936" spans="1:5" ht="14.25" customHeight="1">
      <c r="A936" s="13">
        <v>1204</v>
      </c>
      <c r="B936" s="13">
        <v>291728</v>
      </c>
      <c r="C936" s="14">
        <v>44753</v>
      </c>
      <c r="D936" s="15">
        <v>28</v>
      </c>
      <c r="E936" t="str">
        <f t="shared" si="14"/>
        <v>1204-291728-44753</v>
      </c>
    </row>
    <row r="937" spans="1:5" ht="14.25" customHeight="1">
      <c r="A937" s="13">
        <v>1204</v>
      </c>
      <c r="B937" s="13">
        <v>291728</v>
      </c>
      <c r="C937" s="14">
        <v>44760</v>
      </c>
      <c r="D937" s="15">
        <v>32</v>
      </c>
      <c r="E937" t="str">
        <f t="shared" si="14"/>
        <v>1204-291728-44760</v>
      </c>
    </row>
    <row r="938" spans="1:5" ht="14.25" customHeight="1">
      <c r="A938" s="13">
        <v>1204</v>
      </c>
      <c r="B938" s="13">
        <v>291728</v>
      </c>
      <c r="C938" s="14">
        <v>44767</v>
      </c>
      <c r="D938" s="15">
        <v>40</v>
      </c>
      <c r="E938" t="str">
        <f t="shared" si="14"/>
        <v>1204-291728-44767</v>
      </c>
    </row>
    <row r="939" spans="1:5" ht="14.25" customHeight="1">
      <c r="A939" s="13">
        <v>1204</v>
      </c>
      <c r="B939" s="13">
        <v>291728</v>
      </c>
      <c r="C939" s="14">
        <v>44774</v>
      </c>
      <c r="D939" s="15">
        <v>36</v>
      </c>
      <c r="E939" t="str">
        <f t="shared" si="14"/>
        <v>1204-291728-44774</v>
      </c>
    </row>
    <row r="940" spans="1:5" ht="14.25" customHeight="1">
      <c r="A940" s="13">
        <v>1204</v>
      </c>
      <c r="B940" s="13">
        <v>291728</v>
      </c>
      <c r="C940" s="14">
        <v>44781</v>
      </c>
      <c r="D940" s="15">
        <v>10</v>
      </c>
      <c r="E940" t="str">
        <f t="shared" si="14"/>
        <v>1204-291728-44781</v>
      </c>
    </row>
    <row r="941" spans="1:5" ht="14.25" customHeight="1">
      <c r="A941" s="13">
        <v>1204</v>
      </c>
      <c r="B941" s="13">
        <v>291728</v>
      </c>
      <c r="C941" s="14">
        <v>44788</v>
      </c>
      <c r="D941" s="15">
        <v>27</v>
      </c>
      <c r="E941" t="str">
        <f t="shared" si="14"/>
        <v>1204-291728-44788</v>
      </c>
    </row>
    <row r="942" spans="1:5" ht="14.25" customHeight="1">
      <c r="A942" s="13">
        <v>1204</v>
      </c>
      <c r="B942" s="13">
        <v>300380</v>
      </c>
      <c r="C942" s="14">
        <v>44739</v>
      </c>
      <c r="D942" s="15">
        <v>111</v>
      </c>
      <c r="E942" t="str">
        <f t="shared" si="14"/>
        <v>1204-300380-44739</v>
      </c>
    </row>
    <row r="943" spans="1:5" ht="14.25" customHeight="1">
      <c r="A943" s="13">
        <v>1204</v>
      </c>
      <c r="B943" s="13">
        <v>300380</v>
      </c>
      <c r="C943" s="14">
        <v>44746</v>
      </c>
      <c r="D943" s="15">
        <v>28</v>
      </c>
      <c r="E943" t="str">
        <f t="shared" si="14"/>
        <v>1204-300380-44746</v>
      </c>
    </row>
    <row r="944" spans="1:5" ht="14.25" customHeight="1">
      <c r="A944" s="13">
        <v>1204</v>
      </c>
      <c r="B944" s="13">
        <v>300380</v>
      </c>
      <c r="C944" s="14">
        <v>44753</v>
      </c>
      <c r="D944" s="15">
        <v>25</v>
      </c>
      <c r="E944" t="str">
        <f t="shared" si="14"/>
        <v>1204-300380-44753</v>
      </c>
    </row>
    <row r="945" spans="1:5" ht="14.25" customHeight="1">
      <c r="A945" s="13">
        <v>1204</v>
      </c>
      <c r="B945" s="13">
        <v>300380</v>
      </c>
      <c r="C945" s="14">
        <v>44760</v>
      </c>
      <c r="D945" s="15">
        <v>22</v>
      </c>
      <c r="E945" t="str">
        <f t="shared" si="14"/>
        <v>1204-300380-44760</v>
      </c>
    </row>
    <row r="946" spans="1:5" ht="14.25" customHeight="1">
      <c r="A946" s="13">
        <v>1204</v>
      </c>
      <c r="B946" s="13">
        <v>300380</v>
      </c>
      <c r="C946" s="14">
        <v>44767</v>
      </c>
      <c r="D946" s="15">
        <v>69</v>
      </c>
      <c r="E946" t="str">
        <f t="shared" si="14"/>
        <v>1204-300380-44767</v>
      </c>
    </row>
    <row r="947" spans="1:5" ht="14.25" customHeight="1">
      <c r="A947" s="16">
        <v>1204</v>
      </c>
      <c r="B947" s="13">
        <v>300380</v>
      </c>
      <c r="C947" s="14">
        <v>44774</v>
      </c>
      <c r="D947" s="15">
        <v>91</v>
      </c>
      <c r="E947" t="str">
        <f t="shared" si="14"/>
        <v>1204-300380-44774</v>
      </c>
    </row>
    <row r="948" spans="1:5" ht="14.25" customHeight="1">
      <c r="A948" s="13">
        <v>1204</v>
      </c>
      <c r="B948" s="13">
        <v>300380</v>
      </c>
      <c r="C948" s="14">
        <v>44781</v>
      </c>
      <c r="D948" s="15">
        <v>70</v>
      </c>
      <c r="E948" t="str">
        <f t="shared" si="14"/>
        <v>1204-300380-44781</v>
      </c>
    </row>
    <row r="949" spans="1:5" ht="14.25" customHeight="1">
      <c r="A949" s="13">
        <v>1204</v>
      </c>
      <c r="B949" s="13">
        <v>300380</v>
      </c>
      <c r="C949" s="14">
        <v>44788</v>
      </c>
      <c r="D949" s="15">
        <v>25</v>
      </c>
      <c r="E949" t="str">
        <f t="shared" si="14"/>
        <v>1204-300380-44788</v>
      </c>
    </row>
    <row r="950" spans="1:5" ht="14.25" customHeight="1">
      <c r="A950" s="13">
        <v>1204</v>
      </c>
      <c r="B950" s="13">
        <v>571521</v>
      </c>
      <c r="C950" s="14">
        <v>44739</v>
      </c>
      <c r="D950" s="15">
        <v>57</v>
      </c>
      <c r="E950" t="str">
        <f t="shared" si="14"/>
        <v>1204-571521-44739</v>
      </c>
    </row>
    <row r="951" spans="1:5" ht="14.25" customHeight="1">
      <c r="A951" s="13">
        <v>1204</v>
      </c>
      <c r="B951" s="13">
        <v>571521</v>
      </c>
      <c r="C951" s="14">
        <v>44746</v>
      </c>
      <c r="D951" s="15">
        <v>256</v>
      </c>
      <c r="E951" t="str">
        <f t="shared" si="14"/>
        <v>1204-571521-44746</v>
      </c>
    </row>
    <row r="952" spans="1:5" ht="14.25" customHeight="1">
      <c r="A952" s="13">
        <v>1204</v>
      </c>
      <c r="B952" s="13">
        <v>571521</v>
      </c>
      <c r="C952" s="14">
        <v>44753</v>
      </c>
      <c r="D952" s="15">
        <v>170</v>
      </c>
      <c r="E952" t="str">
        <f t="shared" si="14"/>
        <v>1204-571521-44753</v>
      </c>
    </row>
    <row r="953" spans="1:5" ht="14.25" customHeight="1">
      <c r="A953" s="13">
        <v>1204</v>
      </c>
      <c r="B953" s="13">
        <v>571521</v>
      </c>
      <c r="C953" s="14">
        <v>44760</v>
      </c>
      <c r="D953" s="15">
        <v>62</v>
      </c>
      <c r="E953" t="str">
        <f t="shared" si="14"/>
        <v>1204-571521-44760</v>
      </c>
    </row>
    <row r="954" spans="1:5" ht="14.25" customHeight="1">
      <c r="A954" s="13">
        <v>1204</v>
      </c>
      <c r="B954" s="13">
        <v>571521</v>
      </c>
      <c r="C954" s="14">
        <v>44767</v>
      </c>
      <c r="D954" s="15">
        <v>192</v>
      </c>
      <c r="E954" t="str">
        <f t="shared" si="14"/>
        <v>1204-571521-44767</v>
      </c>
    </row>
    <row r="955" spans="1:5" ht="14.25" customHeight="1">
      <c r="A955" s="13">
        <v>1204</v>
      </c>
      <c r="B955" s="13">
        <v>571521</v>
      </c>
      <c r="C955" s="14">
        <v>44774</v>
      </c>
      <c r="D955" s="15">
        <v>58</v>
      </c>
      <c r="E955" t="str">
        <f t="shared" si="14"/>
        <v>1204-571521-44774</v>
      </c>
    </row>
    <row r="956" spans="1:5" ht="14.25" customHeight="1">
      <c r="A956" s="13">
        <v>1204</v>
      </c>
      <c r="B956" s="13">
        <v>571521</v>
      </c>
      <c r="C956" s="14">
        <v>44781</v>
      </c>
      <c r="D956" s="15">
        <v>213</v>
      </c>
      <c r="E956" t="str">
        <f t="shared" si="14"/>
        <v>1204-571521-44781</v>
      </c>
    </row>
    <row r="957" spans="1:5" ht="14.25" customHeight="1">
      <c r="A957" s="13">
        <v>1204</v>
      </c>
      <c r="B957" s="13">
        <v>571521</v>
      </c>
      <c r="C957" s="14">
        <v>44788</v>
      </c>
      <c r="D957" s="15">
        <v>64</v>
      </c>
      <c r="E957" t="str">
        <f t="shared" si="14"/>
        <v>1204-571521-44788</v>
      </c>
    </row>
    <row r="958" spans="1:5" ht="14.25" customHeight="1">
      <c r="A958" s="13">
        <v>1204</v>
      </c>
      <c r="B958" s="13">
        <v>614993</v>
      </c>
      <c r="C958" s="14">
        <v>44739</v>
      </c>
      <c r="D958" s="15">
        <v>46</v>
      </c>
      <c r="E958" t="str">
        <f t="shared" si="14"/>
        <v>1204-614993-44739</v>
      </c>
    </row>
    <row r="959" spans="1:5" ht="14.25" customHeight="1">
      <c r="A959" s="13">
        <v>1204</v>
      </c>
      <c r="B959" s="13">
        <v>614993</v>
      </c>
      <c r="C959" s="14">
        <v>44746</v>
      </c>
      <c r="D959" s="15">
        <v>50</v>
      </c>
      <c r="E959" t="str">
        <f t="shared" si="14"/>
        <v>1204-614993-44746</v>
      </c>
    </row>
    <row r="960" spans="1:5" ht="14.25" customHeight="1">
      <c r="A960" s="13">
        <v>1204</v>
      </c>
      <c r="B960" s="13">
        <v>614993</v>
      </c>
      <c r="C960" s="14">
        <v>44753</v>
      </c>
      <c r="D960" s="15">
        <v>46</v>
      </c>
      <c r="E960" t="str">
        <f t="shared" si="14"/>
        <v>1204-614993-44753</v>
      </c>
    </row>
    <row r="961" spans="1:5" ht="14.25" customHeight="1">
      <c r="A961" s="13">
        <v>1204</v>
      </c>
      <c r="B961" s="13">
        <v>614993</v>
      </c>
      <c r="C961" s="14">
        <v>44760</v>
      </c>
      <c r="D961" s="15">
        <v>42</v>
      </c>
      <c r="E961" t="str">
        <f t="shared" si="14"/>
        <v>1204-614993-44760</v>
      </c>
    </row>
    <row r="962" spans="1:5" ht="14.25" customHeight="1">
      <c r="A962" s="13">
        <v>1204</v>
      </c>
      <c r="B962" s="13">
        <v>614993</v>
      </c>
      <c r="C962" s="14">
        <v>44767</v>
      </c>
      <c r="D962" s="15">
        <v>44</v>
      </c>
      <c r="E962" t="str">
        <f t="shared" si="14"/>
        <v>1204-614993-44767</v>
      </c>
    </row>
    <row r="963" spans="1:5" ht="14.25" customHeight="1">
      <c r="A963" s="13">
        <v>1204</v>
      </c>
      <c r="B963" s="13">
        <v>614993</v>
      </c>
      <c r="C963" s="14">
        <v>44774</v>
      </c>
      <c r="D963" s="15">
        <v>31</v>
      </c>
      <c r="E963" t="str">
        <f t="shared" ref="E963:E1026" si="15">A963&amp;"-"&amp;B963&amp;"-"&amp;INT(C963)</f>
        <v>1204-614993-44774</v>
      </c>
    </row>
    <row r="964" spans="1:5" ht="14.25" customHeight="1">
      <c r="A964" s="13">
        <v>1204</v>
      </c>
      <c r="B964" s="13">
        <v>614993</v>
      </c>
      <c r="C964" s="14">
        <v>44781</v>
      </c>
      <c r="D964" s="15">
        <v>44</v>
      </c>
      <c r="E964" t="str">
        <f t="shared" si="15"/>
        <v>1204-614993-44781</v>
      </c>
    </row>
    <row r="965" spans="1:5" ht="14.25" customHeight="1">
      <c r="A965" s="13">
        <v>1204</v>
      </c>
      <c r="B965" s="13">
        <v>614993</v>
      </c>
      <c r="C965" s="14">
        <v>44788</v>
      </c>
      <c r="D965" s="15">
        <v>50</v>
      </c>
      <c r="E965" t="str">
        <f t="shared" si="15"/>
        <v>1204-614993-44788</v>
      </c>
    </row>
    <row r="966" spans="1:5" ht="14.25" customHeight="1">
      <c r="A966" s="13">
        <v>1205</v>
      </c>
      <c r="B966" s="13">
        <v>23393</v>
      </c>
      <c r="C966" s="14">
        <v>44739</v>
      </c>
      <c r="D966" s="15">
        <v>390</v>
      </c>
      <c r="E966" t="str">
        <f t="shared" si="15"/>
        <v>1205-23393-44739</v>
      </c>
    </row>
    <row r="967" spans="1:5" ht="14.25" customHeight="1">
      <c r="A967" s="13">
        <v>1205</v>
      </c>
      <c r="B967" s="13">
        <v>23393</v>
      </c>
      <c r="C967" s="14">
        <v>44746</v>
      </c>
      <c r="D967" s="15">
        <v>233</v>
      </c>
      <c r="E967" t="str">
        <f t="shared" si="15"/>
        <v>1205-23393-44746</v>
      </c>
    </row>
    <row r="968" spans="1:5" ht="14.25" customHeight="1">
      <c r="A968" s="13">
        <v>1205</v>
      </c>
      <c r="B968" s="13">
        <v>23393</v>
      </c>
      <c r="C968" s="14">
        <v>44753</v>
      </c>
      <c r="D968" s="15">
        <v>446</v>
      </c>
      <c r="E968" t="str">
        <f t="shared" si="15"/>
        <v>1205-23393-44753</v>
      </c>
    </row>
    <row r="969" spans="1:5" ht="14.25" customHeight="1">
      <c r="A969" s="13">
        <v>1205</v>
      </c>
      <c r="B969" s="13">
        <v>23393</v>
      </c>
      <c r="C969" s="14">
        <v>44760</v>
      </c>
      <c r="D969" s="15">
        <v>454</v>
      </c>
      <c r="E969" t="str">
        <f t="shared" si="15"/>
        <v>1205-23393-44760</v>
      </c>
    </row>
    <row r="970" spans="1:5" ht="14.25" customHeight="1">
      <c r="A970" s="13">
        <v>1205</v>
      </c>
      <c r="B970" s="13">
        <v>23393</v>
      </c>
      <c r="C970" s="14">
        <v>44767</v>
      </c>
      <c r="D970" s="15">
        <v>372</v>
      </c>
      <c r="E970" t="str">
        <f t="shared" si="15"/>
        <v>1205-23393-44767</v>
      </c>
    </row>
    <row r="971" spans="1:5" ht="14.25" customHeight="1">
      <c r="A971" s="13">
        <v>1205</v>
      </c>
      <c r="B971" s="13">
        <v>23393</v>
      </c>
      <c r="C971" s="14">
        <v>44774</v>
      </c>
      <c r="D971" s="15">
        <v>235</v>
      </c>
      <c r="E971" t="str">
        <f t="shared" si="15"/>
        <v>1205-23393-44774</v>
      </c>
    </row>
    <row r="972" spans="1:5" ht="14.25" customHeight="1">
      <c r="A972" s="13">
        <v>1205</v>
      </c>
      <c r="B972" s="13">
        <v>23393</v>
      </c>
      <c r="C972" s="14">
        <v>44781</v>
      </c>
      <c r="D972" s="15">
        <v>377</v>
      </c>
      <c r="E972" t="str">
        <f t="shared" si="15"/>
        <v>1205-23393-44781</v>
      </c>
    </row>
    <row r="973" spans="1:5" ht="14.25" customHeight="1">
      <c r="A973" s="13">
        <v>1205</v>
      </c>
      <c r="B973" s="13">
        <v>23393</v>
      </c>
      <c r="C973" s="14">
        <v>44788</v>
      </c>
      <c r="D973" s="15">
        <v>440</v>
      </c>
      <c r="E973" t="str">
        <f t="shared" si="15"/>
        <v>1205-23393-44788</v>
      </c>
    </row>
    <row r="974" spans="1:5" ht="14.25" customHeight="1">
      <c r="A974" s="13">
        <v>1205</v>
      </c>
      <c r="B974" s="13">
        <v>26764</v>
      </c>
      <c r="C974" s="14">
        <v>44739</v>
      </c>
      <c r="D974" s="15">
        <v>333</v>
      </c>
      <c r="E974" t="str">
        <f t="shared" si="15"/>
        <v>1205-26764-44739</v>
      </c>
    </row>
    <row r="975" spans="1:5" ht="14.25" customHeight="1">
      <c r="A975" s="13">
        <v>1205</v>
      </c>
      <c r="B975" s="13">
        <v>26764</v>
      </c>
      <c r="C975" s="14">
        <v>44746</v>
      </c>
      <c r="D975" s="15">
        <v>436</v>
      </c>
      <c r="E975" t="str">
        <f t="shared" si="15"/>
        <v>1205-26764-44746</v>
      </c>
    </row>
    <row r="976" spans="1:5" ht="14.25" customHeight="1">
      <c r="A976" s="13">
        <v>1205</v>
      </c>
      <c r="B976" s="13">
        <v>26764</v>
      </c>
      <c r="C976" s="14">
        <v>44753</v>
      </c>
      <c r="D976" s="15">
        <v>128</v>
      </c>
      <c r="E976" t="str">
        <f t="shared" si="15"/>
        <v>1205-26764-44753</v>
      </c>
    </row>
    <row r="977" spans="1:5" ht="14.25" customHeight="1">
      <c r="A977" s="13">
        <v>1205</v>
      </c>
      <c r="B977" s="13">
        <v>26764</v>
      </c>
      <c r="C977" s="14">
        <v>44760</v>
      </c>
      <c r="D977" s="15">
        <v>122</v>
      </c>
      <c r="E977" t="str">
        <f t="shared" si="15"/>
        <v>1205-26764-44760</v>
      </c>
    </row>
    <row r="978" spans="1:5" ht="14.25" customHeight="1">
      <c r="A978" s="13">
        <v>1205</v>
      </c>
      <c r="B978" s="13">
        <v>26764</v>
      </c>
      <c r="C978" s="14">
        <v>44767</v>
      </c>
      <c r="D978" s="15">
        <v>400</v>
      </c>
      <c r="E978" t="str">
        <f t="shared" si="15"/>
        <v>1205-26764-44767</v>
      </c>
    </row>
    <row r="979" spans="1:5" ht="14.25" customHeight="1">
      <c r="A979" s="13">
        <v>1205</v>
      </c>
      <c r="B979" s="13">
        <v>26764</v>
      </c>
      <c r="C979" s="14">
        <v>44774</v>
      </c>
      <c r="D979" s="15">
        <v>351</v>
      </c>
      <c r="E979" t="str">
        <f t="shared" si="15"/>
        <v>1205-26764-44774</v>
      </c>
    </row>
    <row r="980" spans="1:5" ht="14.25" customHeight="1">
      <c r="A980" s="13">
        <v>1205</v>
      </c>
      <c r="B980" s="13">
        <v>26764</v>
      </c>
      <c r="C980" s="14">
        <v>44781</v>
      </c>
      <c r="D980" s="15">
        <v>122</v>
      </c>
      <c r="E980" t="str">
        <f t="shared" si="15"/>
        <v>1205-26764-44781</v>
      </c>
    </row>
    <row r="981" spans="1:5" ht="14.25" customHeight="1">
      <c r="A981" s="13">
        <v>1205</v>
      </c>
      <c r="B981" s="13">
        <v>26764</v>
      </c>
      <c r="C981" s="14">
        <v>44788</v>
      </c>
      <c r="D981" s="15">
        <v>124</v>
      </c>
      <c r="E981" t="str">
        <f t="shared" si="15"/>
        <v>1205-26764-44788</v>
      </c>
    </row>
    <row r="982" spans="1:5" ht="14.25" customHeight="1">
      <c r="A982" s="13">
        <v>1205</v>
      </c>
      <c r="B982" s="13">
        <v>53934</v>
      </c>
      <c r="C982" s="14">
        <v>44739</v>
      </c>
      <c r="D982" s="15">
        <v>3671</v>
      </c>
      <c r="E982" t="str">
        <f t="shared" si="15"/>
        <v>1205-53934-44739</v>
      </c>
    </row>
    <row r="983" spans="1:5" ht="14.25" customHeight="1">
      <c r="A983" s="13">
        <v>1205</v>
      </c>
      <c r="B983" s="13">
        <v>53934</v>
      </c>
      <c r="C983" s="14">
        <v>44746</v>
      </c>
      <c r="D983" s="15">
        <v>4320</v>
      </c>
      <c r="E983" t="str">
        <f t="shared" si="15"/>
        <v>1205-53934-44746</v>
      </c>
    </row>
    <row r="984" spans="1:5" ht="14.25" customHeight="1">
      <c r="A984" s="13">
        <v>1205</v>
      </c>
      <c r="B984" s="13">
        <v>53934</v>
      </c>
      <c r="C984" s="14">
        <v>44753</v>
      </c>
      <c r="D984" s="15">
        <v>1097</v>
      </c>
      <c r="E984" t="str">
        <f t="shared" si="15"/>
        <v>1205-53934-44753</v>
      </c>
    </row>
    <row r="985" spans="1:5" ht="14.25" customHeight="1">
      <c r="A985" s="13">
        <v>1205</v>
      </c>
      <c r="B985" s="13">
        <v>53934</v>
      </c>
      <c r="C985" s="14">
        <v>44760</v>
      </c>
      <c r="D985" s="15">
        <v>1095</v>
      </c>
      <c r="E985" t="str">
        <f t="shared" si="15"/>
        <v>1205-53934-44760</v>
      </c>
    </row>
    <row r="986" spans="1:5" ht="14.25" customHeight="1">
      <c r="A986" s="13">
        <v>1205</v>
      </c>
      <c r="B986" s="13">
        <v>53934</v>
      </c>
      <c r="C986" s="14">
        <v>44767</v>
      </c>
      <c r="D986" s="15">
        <v>1095</v>
      </c>
      <c r="E986" t="str">
        <f t="shared" si="15"/>
        <v>1205-53934-44767</v>
      </c>
    </row>
    <row r="987" spans="1:5" ht="14.25" customHeight="1">
      <c r="A987" s="13">
        <v>1205</v>
      </c>
      <c r="B987" s="13">
        <v>53934</v>
      </c>
      <c r="C987" s="14">
        <v>44774</v>
      </c>
      <c r="D987" s="15">
        <v>5631</v>
      </c>
      <c r="E987" t="str">
        <f t="shared" si="15"/>
        <v>1205-53934-44774</v>
      </c>
    </row>
    <row r="988" spans="1:5" ht="14.25" customHeight="1">
      <c r="A988" s="13">
        <v>1205</v>
      </c>
      <c r="B988" s="13">
        <v>53934</v>
      </c>
      <c r="C988" s="14">
        <v>44781</v>
      </c>
      <c r="D988" s="15">
        <v>5218</v>
      </c>
      <c r="E988" t="str">
        <f t="shared" si="15"/>
        <v>1205-53934-44781</v>
      </c>
    </row>
    <row r="989" spans="1:5" ht="14.25" customHeight="1">
      <c r="A989" s="13">
        <v>1205</v>
      </c>
      <c r="B989" s="13">
        <v>53934</v>
      </c>
      <c r="C989" s="14">
        <v>44788</v>
      </c>
      <c r="D989" s="15">
        <v>1866</v>
      </c>
      <c r="E989" t="str">
        <f t="shared" si="15"/>
        <v>1205-53934-44788</v>
      </c>
    </row>
    <row r="990" spans="1:5" ht="14.25" customHeight="1">
      <c r="A990" s="13">
        <v>1205</v>
      </c>
      <c r="B990" s="13">
        <v>78699</v>
      </c>
      <c r="C990" s="14">
        <v>44739</v>
      </c>
      <c r="D990" s="15">
        <v>34</v>
      </c>
      <c r="E990" t="str">
        <f t="shared" si="15"/>
        <v>1205-78699-44739</v>
      </c>
    </row>
    <row r="991" spans="1:5" ht="14.25" customHeight="1">
      <c r="A991" s="13">
        <v>1205</v>
      </c>
      <c r="B991" s="13">
        <v>78699</v>
      </c>
      <c r="C991" s="14">
        <v>44746</v>
      </c>
      <c r="D991" s="15">
        <v>31</v>
      </c>
      <c r="E991" t="str">
        <f t="shared" si="15"/>
        <v>1205-78699-44746</v>
      </c>
    </row>
    <row r="992" spans="1:5" ht="14.25" customHeight="1">
      <c r="A992" s="13">
        <v>1205</v>
      </c>
      <c r="B992" s="13">
        <v>78699</v>
      </c>
      <c r="C992" s="14">
        <v>44753</v>
      </c>
      <c r="D992" s="15">
        <v>28</v>
      </c>
      <c r="E992" t="str">
        <f t="shared" si="15"/>
        <v>1205-78699-44753</v>
      </c>
    </row>
    <row r="993" spans="1:5" ht="14.25" customHeight="1">
      <c r="A993" s="13">
        <v>1205</v>
      </c>
      <c r="B993" s="13">
        <v>78699</v>
      </c>
      <c r="C993" s="14">
        <v>44760</v>
      </c>
      <c r="D993" s="15">
        <v>9</v>
      </c>
      <c r="E993" t="str">
        <f t="shared" si="15"/>
        <v>1205-78699-44760</v>
      </c>
    </row>
    <row r="994" spans="1:5" ht="14.25" customHeight="1">
      <c r="A994" s="13">
        <v>1205</v>
      </c>
      <c r="B994" s="13">
        <v>78699</v>
      </c>
      <c r="C994" s="14">
        <v>44767</v>
      </c>
      <c r="D994" s="15">
        <v>21</v>
      </c>
      <c r="E994" t="str">
        <f t="shared" si="15"/>
        <v>1205-78699-44767</v>
      </c>
    </row>
    <row r="995" spans="1:5" ht="14.25" customHeight="1">
      <c r="A995" s="13">
        <v>1205</v>
      </c>
      <c r="B995" s="13">
        <v>78699</v>
      </c>
      <c r="C995" s="14">
        <v>44774</v>
      </c>
      <c r="D995" s="15">
        <v>24</v>
      </c>
      <c r="E995" t="str">
        <f t="shared" si="15"/>
        <v>1205-78699-44774</v>
      </c>
    </row>
    <row r="996" spans="1:5" ht="14.25" customHeight="1">
      <c r="A996" s="13">
        <v>1205</v>
      </c>
      <c r="B996" s="13">
        <v>78699</v>
      </c>
      <c r="C996" s="14">
        <v>44781</v>
      </c>
      <c r="D996" s="15">
        <v>11</v>
      </c>
      <c r="E996" t="str">
        <f t="shared" si="15"/>
        <v>1205-78699-44781</v>
      </c>
    </row>
    <row r="997" spans="1:5" ht="14.25" customHeight="1">
      <c r="A997" s="13">
        <v>1205</v>
      </c>
      <c r="B997" s="13">
        <v>78699</v>
      </c>
      <c r="C997" s="14">
        <v>44788</v>
      </c>
      <c r="D997" s="15">
        <v>21</v>
      </c>
      <c r="E997" t="str">
        <f t="shared" si="15"/>
        <v>1205-78699-44788</v>
      </c>
    </row>
    <row r="998" spans="1:5" ht="14.25" customHeight="1">
      <c r="A998" s="13">
        <v>1205</v>
      </c>
      <c r="B998" s="13">
        <v>78869</v>
      </c>
      <c r="C998" s="14">
        <v>44739</v>
      </c>
      <c r="D998" s="15">
        <v>22</v>
      </c>
      <c r="E998" t="str">
        <f t="shared" si="15"/>
        <v>1205-78869-44739</v>
      </c>
    </row>
    <row r="999" spans="1:5" ht="14.25" customHeight="1">
      <c r="A999" s="13">
        <v>1205</v>
      </c>
      <c r="B999" s="13">
        <v>78869</v>
      </c>
      <c r="C999" s="14">
        <v>44746</v>
      </c>
      <c r="D999" s="15">
        <v>28</v>
      </c>
      <c r="E999" t="str">
        <f t="shared" si="15"/>
        <v>1205-78869-44746</v>
      </c>
    </row>
    <row r="1000" spans="1:5" ht="14.25" customHeight="1">
      <c r="A1000" s="13">
        <v>1205</v>
      </c>
      <c r="B1000" s="13">
        <v>78869</v>
      </c>
      <c r="C1000" s="14">
        <v>44753</v>
      </c>
      <c r="D1000" s="15">
        <v>5</v>
      </c>
      <c r="E1000" t="str">
        <f t="shared" si="15"/>
        <v>1205-78869-44753</v>
      </c>
    </row>
    <row r="1001" spans="1:5" ht="14.25" customHeight="1">
      <c r="A1001" s="13">
        <v>1205</v>
      </c>
      <c r="B1001" s="13">
        <v>78869</v>
      </c>
      <c r="C1001" s="14">
        <v>44760</v>
      </c>
      <c r="D1001" s="15">
        <v>28</v>
      </c>
      <c r="E1001" t="str">
        <f t="shared" si="15"/>
        <v>1205-78869-44760</v>
      </c>
    </row>
    <row r="1002" spans="1:5" ht="14.25" customHeight="1">
      <c r="A1002" s="13">
        <v>1205</v>
      </c>
      <c r="B1002" s="13">
        <v>78869</v>
      </c>
      <c r="C1002" s="14">
        <v>44767</v>
      </c>
      <c r="D1002" s="15">
        <v>22</v>
      </c>
      <c r="E1002" t="str">
        <f t="shared" si="15"/>
        <v>1205-78869-44767</v>
      </c>
    </row>
    <row r="1003" spans="1:5" ht="14.25" customHeight="1">
      <c r="A1003" s="13">
        <v>1205</v>
      </c>
      <c r="B1003" s="13">
        <v>78869</v>
      </c>
      <c r="C1003" s="14">
        <v>44774</v>
      </c>
      <c r="D1003" s="15">
        <v>18</v>
      </c>
      <c r="E1003" t="str">
        <f t="shared" si="15"/>
        <v>1205-78869-44774</v>
      </c>
    </row>
    <row r="1004" spans="1:5" ht="14.25" customHeight="1">
      <c r="A1004" s="13">
        <v>1205</v>
      </c>
      <c r="B1004" s="13">
        <v>78869</v>
      </c>
      <c r="C1004" s="14">
        <v>44781</v>
      </c>
      <c r="D1004" s="15">
        <v>24</v>
      </c>
      <c r="E1004" t="str">
        <f t="shared" si="15"/>
        <v>1205-78869-44781</v>
      </c>
    </row>
    <row r="1005" spans="1:5" ht="14.25" customHeight="1">
      <c r="A1005" s="13">
        <v>1205</v>
      </c>
      <c r="B1005" s="13">
        <v>78869</v>
      </c>
      <c r="C1005" s="14">
        <v>44788</v>
      </c>
      <c r="D1005" s="15">
        <v>18</v>
      </c>
      <c r="E1005" t="str">
        <f t="shared" si="15"/>
        <v>1205-78869-44788</v>
      </c>
    </row>
    <row r="1006" spans="1:5" ht="14.25" customHeight="1">
      <c r="A1006" s="13">
        <v>1205</v>
      </c>
      <c r="B1006" s="13">
        <v>115600</v>
      </c>
      <c r="C1006" s="14">
        <v>44739</v>
      </c>
      <c r="D1006" s="15">
        <v>18</v>
      </c>
      <c r="E1006" t="str">
        <f t="shared" si="15"/>
        <v>1205-115600-44739</v>
      </c>
    </row>
    <row r="1007" spans="1:5" ht="14.25" customHeight="1">
      <c r="A1007" s="13">
        <v>1205</v>
      </c>
      <c r="B1007" s="13">
        <v>115600</v>
      </c>
      <c r="C1007" s="14">
        <v>44746</v>
      </c>
      <c r="D1007" s="15">
        <v>4</v>
      </c>
      <c r="E1007" t="str">
        <f t="shared" si="15"/>
        <v>1205-115600-44746</v>
      </c>
    </row>
    <row r="1008" spans="1:5" ht="14.25" customHeight="1">
      <c r="A1008" s="13">
        <v>1205</v>
      </c>
      <c r="B1008" s="13">
        <v>115600</v>
      </c>
      <c r="C1008" s="14">
        <v>44753</v>
      </c>
      <c r="D1008" s="15">
        <v>22</v>
      </c>
      <c r="E1008" t="str">
        <f t="shared" si="15"/>
        <v>1205-115600-44753</v>
      </c>
    </row>
    <row r="1009" spans="1:5" ht="14.25" customHeight="1">
      <c r="A1009" s="13">
        <v>1205</v>
      </c>
      <c r="B1009" s="13">
        <v>115600</v>
      </c>
      <c r="C1009" s="14">
        <v>44760</v>
      </c>
      <c r="D1009" s="15">
        <v>8</v>
      </c>
      <c r="E1009" t="str">
        <f t="shared" si="15"/>
        <v>1205-115600-44760</v>
      </c>
    </row>
    <row r="1010" spans="1:5" ht="14.25" customHeight="1">
      <c r="A1010" s="13">
        <v>1205</v>
      </c>
      <c r="B1010" s="13">
        <v>115600</v>
      </c>
      <c r="C1010" s="14">
        <v>44767</v>
      </c>
      <c r="D1010" s="15">
        <v>16</v>
      </c>
      <c r="E1010" t="str">
        <f t="shared" si="15"/>
        <v>1205-115600-44767</v>
      </c>
    </row>
    <row r="1011" spans="1:5" ht="14.25" customHeight="1">
      <c r="A1011" s="13">
        <v>1205</v>
      </c>
      <c r="B1011" s="13">
        <v>115600</v>
      </c>
      <c r="C1011" s="14">
        <v>44774</v>
      </c>
      <c r="D1011" s="15">
        <v>18</v>
      </c>
      <c r="E1011" t="str">
        <f t="shared" si="15"/>
        <v>1205-115600-44774</v>
      </c>
    </row>
    <row r="1012" spans="1:5" ht="14.25" customHeight="1">
      <c r="A1012" s="13">
        <v>1205</v>
      </c>
      <c r="B1012" s="13">
        <v>115600</v>
      </c>
      <c r="C1012" s="14">
        <v>44781</v>
      </c>
      <c r="D1012" s="15">
        <v>24</v>
      </c>
      <c r="E1012" t="str">
        <f t="shared" si="15"/>
        <v>1205-115600-44781</v>
      </c>
    </row>
    <row r="1013" spans="1:5" ht="14.25" customHeight="1">
      <c r="A1013" s="13">
        <v>1205</v>
      </c>
      <c r="B1013" s="13">
        <v>115600</v>
      </c>
      <c r="C1013" s="14">
        <v>44788</v>
      </c>
      <c r="D1013" s="15">
        <v>8</v>
      </c>
      <c r="E1013" t="str">
        <f t="shared" si="15"/>
        <v>1205-115600-44788</v>
      </c>
    </row>
    <row r="1014" spans="1:5" ht="14.25" customHeight="1">
      <c r="A1014" s="13">
        <v>1205</v>
      </c>
      <c r="B1014" s="13">
        <v>129208</v>
      </c>
      <c r="C1014" s="14">
        <v>44739</v>
      </c>
      <c r="D1014" s="15">
        <v>13</v>
      </c>
      <c r="E1014" t="str">
        <f t="shared" si="15"/>
        <v>1205-129208-44739</v>
      </c>
    </row>
    <row r="1015" spans="1:5" ht="14.25" customHeight="1">
      <c r="A1015" s="13">
        <v>1205</v>
      </c>
      <c r="B1015" s="13">
        <v>129208</v>
      </c>
      <c r="C1015" s="14">
        <v>44746</v>
      </c>
      <c r="D1015" s="15">
        <v>29</v>
      </c>
      <c r="E1015" t="str">
        <f t="shared" si="15"/>
        <v>1205-129208-44746</v>
      </c>
    </row>
    <row r="1016" spans="1:5" ht="14.25" customHeight="1">
      <c r="A1016" s="13">
        <v>1205</v>
      </c>
      <c r="B1016" s="13">
        <v>129208</v>
      </c>
      <c r="C1016" s="14">
        <v>44753</v>
      </c>
      <c r="D1016" s="15">
        <v>40</v>
      </c>
      <c r="E1016" t="str">
        <f t="shared" si="15"/>
        <v>1205-129208-44753</v>
      </c>
    </row>
    <row r="1017" spans="1:5" ht="14.25" customHeight="1">
      <c r="A1017" s="13">
        <v>1205</v>
      </c>
      <c r="B1017" s="13">
        <v>129208</v>
      </c>
      <c r="C1017" s="14">
        <v>44760</v>
      </c>
      <c r="D1017" s="15">
        <v>32</v>
      </c>
      <c r="E1017" t="str">
        <f t="shared" si="15"/>
        <v>1205-129208-44760</v>
      </c>
    </row>
    <row r="1018" spans="1:5" ht="14.25" customHeight="1">
      <c r="A1018" s="13">
        <v>1205</v>
      </c>
      <c r="B1018" s="13">
        <v>129208</v>
      </c>
      <c r="C1018" s="14">
        <v>44767</v>
      </c>
      <c r="D1018" s="15">
        <v>36</v>
      </c>
      <c r="E1018" t="str">
        <f t="shared" si="15"/>
        <v>1205-129208-44767</v>
      </c>
    </row>
    <row r="1019" spans="1:5" ht="14.25" customHeight="1">
      <c r="A1019" s="13">
        <v>1205</v>
      </c>
      <c r="B1019" s="13">
        <v>129208</v>
      </c>
      <c r="C1019" s="14">
        <v>44774</v>
      </c>
      <c r="D1019" s="15">
        <v>18</v>
      </c>
      <c r="E1019" t="str">
        <f t="shared" si="15"/>
        <v>1205-129208-44774</v>
      </c>
    </row>
    <row r="1020" spans="1:5" ht="14.25" customHeight="1">
      <c r="A1020" s="13">
        <v>1205</v>
      </c>
      <c r="B1020" s="13">
        <v>129208</v>
      </c>
      <c r="C1020" s="14">
        <v>44781</v>
      </c>
      <c r="D1020" s="15">
        <v>7</v>
      </c>
      <c r="E1020" t="str">
        <f t="shared" si="15"/>
        <v>1205-129208-44781</v>
      </c>
    </row>
    <row r="1021" spans="1:5" ht="14.25" customHeight="1">
      <c r="A1021" s="13">
        <v>1205</v>
      </c>
      <c r="B1021" s="13">
        <v>129208</v>
      </c>
      <c r="C1021" s="14">
        <v>44788</v>
      </c>
      <c r="D1021" s="15">
        <v>12</v>
      </c>
      <c r="E1021" t="str">
        <f t="shared" si="15"/>
        <v>1205-129208-44788</v>
      </c>
    </row>
    <row r="1022" spans="1:5" ht="14.25" customHeight="1">
      <c r="A1022" s="13">
        <v>1205</v>
      </c>
      <c r="B1022" s="13">
        <v>141622</v>
      </c>
      <c r="C1022" s="14">
        <v>44739</v>
      </c>
      <c r="D1022" s="15">
        <v>44</v>
      </c>
      <c r="E1022" t="str">
        <f t="shared" si="15"/>
        <v>1205-141622-44739</v>
      </c>
    </row>
    <row r="1023" spans="1:5" ht="14.25" customHeight="1">
      <c r="A1023" s="13">
        <v>1205</v>
      </c>
      <c r="B1023" s="13">
        <v>141622</v>
      </c>
      <c r="C1023" s="14">
        <v>44746</v>
      </c>
      <c r="D1023" s="15">
        <v>71</v>
      </c>
      <c r="E1023" t="str">
        <f t="shared" si="15"/>
        <v>1205-141622-44746</v>
      </c>
    </row>
    <row r="1024" spans="1:5" ht="14.25" customHeight="1">
      <c r="A1024" s="13">
        <v>1205</v>
      </c>
      <c r="B1024" s="13">
        <v>141622</v>
      </c>
      <c r="C1024" s="14">
        <v>44753</v>
      </c>
      <c r="D1024" s="15">
        <v>81</v>
      </c>
      <c r="E1024" t="str">
        <f t="shared" si="15"/>
        <v>1205-141622-44753</v>
      </c>
    </row>
    <row r="1025" spans="1:5" ht="14.25" customHeight="1">
      <c r="A1025" s="13">
        <v>1205</v>
      </c>
      <c r="B1025" s="13">
        <v>141622</v>
      </c>
      <c r="C1025" s="14">
        <v>44760</v>
      </c>
      <c r="D1025" s="15">
        <v>28</v>
      </c>
      <c r="E1025" t="str">
        <f t="shared" si="15"/>
        <v>1205-141622-44760</v>
      </c>
    </row>
    <row r="1026" spans="1:5" ht="14.25" customHeight="1">
      <c r="A1026" s="13">
        <v>1205</v>
      </c>
      <c r="B1026" s="13">
        <v>141622</v>
      </c>
      <c r="C1026" s="14">
        <v>44767</v>
      </c>
      <c r="D1026" s="15">
        <v>31</v>
      </c>
      <c r="E1026" t="str">
        <f t="shared" si="15"/>
        <v>1205-141622-44767</v>
      </c>
    </row>
    <row r="1027" spans="1:5" ht="14.25" customHeight="1">
      <c r="A1027" s="13">
        <v>1205</v>
      </c>
      <c r="B1027" s="13">
        <v>141622</v>
      </c>
      <c r="C1027" s="14">
        <v>44774</v>
      </c>
      <c r="D1027" s="15">
        <v>88</v>
      </c>
      <c r="E1027" t="str">
        <f t="shared" ref="E1027:E1090" si="16">A1027&amp;"-"&amp;B1027&amp;"-"&amp;INT(C1027)</f>
        <v>1205-141622-44774</v>
      </c>
    </row>
    <row r="1028" spans="1:5" ht="14.25" customHeight="1">
      <c r="A1028" s="13">
        <v>1205</v>
      </c>
      <c r="B1028" s="13">
        <v>141622</v>
      </c>
      <c r="C1028" s="14">
        <v>44781</v>
      </c>
      <c r="D1028" s="15">
        <v>87</v>
      </c>
      <c r="E1028" t="str">
        <f t="shared" si="16"/>
        <v>1205-141622-44781</v>
      </c>
    </row>
    <row r="1029" spans="1:5" ht="14.25" customHeight="1">
      <c r="A1029" s="13">
        <v>1205</v>
      </c>
      <c r="B1029" s="13">
        <v>141622</v>
      </c>
      <c r="C1029" s="14">
        <v>44788</v>
      </c>
      <c r="D1029" s="15">
        <v>28</v>
      </c>
      <c r="E1029" t="str">
        <f t="shared" si="16"/>
        <v>1205-141622-44788</v>
      </c>
    </row>
    <row r="1030" spans="1:5" ht="14.25" customHeight="1">
      <c r="A1030" s="13">
        <v>1205</v>
      </c>
      <c r="B1030" s="13">
        <v>141626</v>
      </c>
      <c r="C1030" s="14">
        <v>44739</v>
      </c>
      <c r="D1030" s="15">
        <v>22</v>
      </c>
      <c r="E1030" t="str">
        <f t="shared" si="16"/>
        <v>1205-141626-44739</v>
      </c>
    </row>
    <row r="1031" spans="1:5" ht="14.25" customHeight="1">
      <c r="A1031" s="13">
        <v>1205</v>
      </c>
      <c r="B1031" s="13">
        <v>141626</v>
      </c>
      <c r="C1031" s="14">
        <v>44746</v>
      </c>
      <c r="D1031" s="15">
        <v>22</v>
      </c>
      <c r="E1031" t="str">
        <f t="shared" si="16"/>
        <v>1205-141626-44746</v>
      </c>
    </row>
    <row r="1032" spans="1:5" ht="14.25" customHeight="1">
      <c r="A1032" s="13">
        <v>1205</v>
      </c>
      <c r="B1032" s="13">
        <v>141626</v>
      </c>
      <c r="C1032" s="14">
        <v>44753</v>
      </c>
      <c r="D1032" s="15">
        <v>22</v>
      </c>
      <c r="E1032" t="str">
        <f t="shared" si="16"/>
        <v>1205-141626-44753</v>
      </c>
    </row>
    <row r="1033" spans="1:5" ht="14.25" customHeight="1">
      <c r="A1033" s="13">
        <v>1205</v>
      </c>
      <c r="B1033" s="13">
        <v>141626</v>
      </c>
      <c r="C1033" s="14">
        <v>44760</v>
      </c>
      <c r="D1033" s="15">
        <v>28</v>
      </c>
      <c r="E1033" t="str">
        <f t="shared" si="16"/>
        <v>1205-141626-44760</v>
      </c>
    </row>
    <row r="1034" spans="1:5" ht="14.25" customHeight="1">
      <c r="A1034" s="13">
        <v>1205</v>
      </c>
      <c r="B1034" s="13">
        <v>141626</v>
      </c>
      <c r="C1034" s="14">
        <v>44767</v>
      </c>
      <c r="D1034" s="15">
        <v>24</v>
      </c>
      <c r="E1034" t="str">
        <f t="shared" si="16"/>
        <v>1205-141626-44767</v>
      </c>
    </row>
    <row r="1035" spans="1:5" ht="14.25" customHeight="1">
      <c r="A1035" s="13">
        <v>1205</v>
      </c>
      <c r="B1035" s="13">
        <v>141626</v>
      </c>
      <c r="C1035" s="14">
        <v>44774</v>
      </c>
      <c r="D1035" s="15">
        <v>26</v>
      </c>
      <c r="E1035" t="str">
        <f t="shared" si="16"/>
        <v>1205-141626-44774</v>
      </c>
    </row>
    <row r="1036" spans="1:5" ht="14.25" customHeight="1">
      <c r="A1036" s="13">
        <v>1205</v>
      </c>
      <c r="B1036" s="13">
        <v>141626</v>
      </c>
      <c r="C1036" s="14">
        <v>44781</v>
      </c>
      <c r="D1036" s="15">
        <v>15</v>
      </c>
      <c r="E1036" t="str">
        <f t="shared" si="16"/>
        <v>1205-141626-44781</v>
      </c>
    </row>
    <row r="1037" spans="1:5" ht="14.25" customHeight="1">
      <c r="A1037" s="13">
        <v>1205</v>
      </c>
      <c r="B1037" s="13">
        <v>141626</v>
      </c>
      <c r="C1037" s="14">
        <v>44788</v>
      </c>
      <c r="D1037" s="15">
        <v>26</v>
      </c>
      <c r="E1037" t="str">
        <f t="shared" si="16"/>
        <v>1205-141626-44788</v>
      </c>
    </row>
    <row r="1038" spans="1:5" ht="14.25" customHeight="1">
      <c r="A1038" s="13">
        <v>1205</v>
      </c>
      <c r="B1038" s="13">
        <v>141791</v>
      </c>
      <c r="C1038" s="14">
        <v>44739</v>
      </c>
      <c r="D1038" s="15">
        <v>33</v>
      </c>
      <c r="E1038" t="str">
        <f t="shared" si="16"/>
        <v>1205-141791-44739</v>
      </c>
    </row>
    <row r="1039" spans="1:5" ht="14.25" customHeight="1">
      <c r="A1039" s="13">
        <v>1205</v>
      </c>
      <c r="B1039" s="13">
        <v>141791</v>
      </c>
      <c r="C1039" s="14">
        <v>44746</v>
      </c>
      <c r="D1039" s="15">
        <v>36</v>
      </c>
      <c r="E1039" t="str">
        <f t="shared" si="16"/>
        <v>1205-141791-44746</v>
      </c>
    </row>
    <row r="1040" spans="1:5" ht="14.25" customHeight="1">
      <c r="A1040" s="13">
        <v>1205</v>
      </c>
      <c r="B1040" s="13">
        <v>141791</v>
      </c>
      <c r="C1040" s="14">
        <v>44753</v>
      </c>
      <c r="D1040" s="15">
        <v>40</v>
      </c>
      <c r="E1040" t="str">
        <f t="shared" si="16"/>
        <v>1205-141791-44753</v>
      </c>
    </row>
    <row r="1041" spans="1:5" ht="14.25" customHeight="1">
      <c r="A1041" s="13">
        <v>1205</v>
      </c>
      <c r="B1041" s="13">
        <v>141791</v>
      </c>
      <c r="C1041" s="14">
        <v>44760</v>
      </c>
      <c r="D1041" s="15">
        <v>24</v>
      </c>
      <c r="E1041" t="str">
        <f t="shared" si="16"/>
        <v>1205-141791-44760</v>
      </c>
    </row>
    <row r="1042" spans="1:5" ht="14.25" customHeight="1">
      <c r="A1042" s="13">
        <v>1205</v>
      </c>
      <c r="B1042" s="13">
        <v>141791</v>
      </c>
      <c r="C1042" s="14">
        <v>44767</v>
      </c>
      <c r="D1042" s="15">
        <v>34</v>
      </c>
      <c r="E1042" t="str">
        <f t="shared" si="16"/>
        <v>1205-141791-44767</v>
      </c>
    </row>
    <row r="1043" spans="1:5" ht="14.25" customHeight="1">
      <c r="A1043" s="13">
        <v>1205</v>
      </c>
      <c r="B1043" s="13">
        <v>141791</v>
      </c>
      <c r="C1043" s="14">
        <v>44774</v>
      </c>
      <c r="D1043" s="15">
        <v>33</v>
      </c>
      <c r="E1043" t="str">
        <f t="shared" si="16"/>
        <v>1205-141791-44774</v>
      </c>
    </row>
    <row r="1044" spans="1:5" ht="14.25" customHeight="1">
      <c r="A1044" s="13">
        <v>1205</v>
      </c>
      <c r="B1044" s="13">
        <v>141791</v>
      </c>
      <c r="C1044" s="14">
        <v>44781</v>
      </c>
      <c r="D1044" s="15">
        <v>24</v>
      </c>
      <c r="E1044" t="str">
        <f t="shared" si="16"/>
        <v>1205-141791-44781</v>
      </c>
    </row>
    <row r="1045" spans="1:5" ht="14.25" customHeight="1">
      <c r="A1045" s="13">
        <v>1205</v>
      </c>
      <c r="B1045" s="13">
        <v>141791</v>
      </c>
      <c r="C1045" s="14">
        <v>44788</v>
      </c>
      <c r="D1045" s="15">
        <v>38</v>
      </c>
      <c r="E1045" t="str">
        <f t="shared" si="16"/>
        <v>1205-141791-44788</v>
      </c>
    </row>
    <row r="1046" spans="1:5" ht="14.25" customHeight="1">
      <c r="A1046" s="13">
        <v>1205</v>
      </c>
      <c r="B1046" s="13">
        <v>141846</v>
      </c>
      <c r="C1046" s="14">
        <v>44739</v>
      </c>
      <c r="D1046" s="15">
        <v>13</v>
      </c>
      <c r="E1046" t="str">
        <f t="shared" si="16"/>
        <v>1205-141846-44739</v>
      </c>
    </row>
    <row r="1047" spans="1:5" ht="14.25" customHeight="1">
      <c r="A1047" s="13">
        <v>1205</v>
      </c>
      <c r="B1047" s="13">
        <v>141846</v>
      </c>
      <c r="C1047" s="14">
        <v>44746</v>
      </c>
      <c r="D1047" s="15">
        <v>12</v>
      </c>
      <c r="E1047" t="str">
        <f t="shared" si="16"/>
        <v>1205-141846-44746</v>
      </c>
    </row>
    <row r="1048" spans="1:5" ht="14.25" customHeight="1">
      <c r="A1048" s="16">
        <v>1205</v>
      </c>
      <c r="B1048" s="13">
        <v>141846</v>
      </c>
      <c r="C1048" s="14">
        <v>44753</v>
      </c>
      <c r="D1048" s="15">
        <v>12</v>
      </c>
      <c r="E1048" t="str">
        <f t="shared" si="16"/>
        <v>1205-141846-44753</v>
      </c>
    </row>
    <row r="1049" spans="1:5" ht="14.25" customHeight="1">
      <c r="A1049" s="13">
        <v>1205</v>
      </c>
      <c r="B1049" s="13">
        <v>141846</v>
      </c>
      <c r="C1049" s="14">
        <v>44760</v>
      </c>
      <c r="D1049" s="15">
        <v>8</v>
      </c>
      <c r="E1049" t="str">
        <f t="shared" si="16"/>
        <v>1205-141846-44760</v>
      </c>
    </row>
    <row r="1050" spans="1:5" ht="14.25" customHeight="1">
      <c r="A1050" s="13">
        <v>1205</v>
      </c>
      <c r="B1050" s="13">
        <v>141846</v>
      </c>
      <c r="C1050" s="14">
        <v>44767</v>
      </c>
      <c r="D1050" s="15">
        <v>13</v>
      </c>
      <c r="E1050" t="str">
        <f t="shared" si="16"/>
        <v>1205-141846-44767</v>
      </c>
    </row>
    <row r="1051" spans="1:5" ht="14.25" customHeight="1">
      <c r="A1051" s="13">
        <v>1205</v>
      </c>
      <c r="B1051" s="13">
        <v>141846</v>
      </c>
      <c r="C1051" s="14">
        <v>44774</v>
      </c>
      <c r="D1051" s="15">
        <v>8</v>
      </c>
      <c r="E1051" t="str">
        <f t="shared" si="16"/>
        <v>1205-141846-44774</v>
      </c>
    </row>
    <row r="1052" spans="1:5" ht="14.25" customHeight="1">
      <c r="A1052" s="13">
        <v>1205</v>
      </c>
      <c r="B1052" s="13">
        <v>141846</v>
      </c>
      <c r="C1052" s="14">
        <v>44781</v>
      </c>
      <c r="D1052" s="15">
        <v>6</v>
      </c>
      <c r="E1052" t="str">
        <f t="shared" si="16"/>
        <v>1205-141846-44781</v>
      </c>
    </row>
    <row r="1053" spans="1:5" ht="14.25" customHeight="1">
      <c r="A1053" s="13">
        <v>1205</v>
      </c>
      <c r="B1053" s="13">
        <v>141846</v>
      </c>
      <c r="C1053" s="14">
        <v>44788</v>
      </c>
      <c r="D1053" s="15">
        <v>12</v>
      </c>
      <c r="E1053" t="str">
        <f t="shared" si="16"/>
        <v>1205-141846-44788</v>
      </c>
    </row>
    <row r="1054" spans="1:5" ht="14.25" customHeight="1">
      <c r="A1054" s="13">
        <v>1205</v>
      </c>
      <c r="B1054" s="13">
        <v>141967</v>
      </c>
      <c r="C1054" s="14">
        <v>44739</v>
      </c>
      <c r="D1054" s="15">
        <v>6</v>
      </c>
      <c r="E1054" t="str">
        <f t="shared" si="16"/>
        <v>1205-141967-44739</v>
      </c>
    </row>
    <row r="1055" spans="1:5" ht="14.25" customHeight="1">
      <c r="A1055" s="13">
        <v>1205</v>
      </c>
      <c r="B1055" s="13">
        <v>141967</v>
      </c>
      <c r="C1055" s="14">
        <v>44746</v>
      </c>
      <c r="D1055" s="15">
        <v>15</v>
      </c>
      <c r="E1055" t="str">
        <f t="shared" si="16"/>
        <v>1205-141967-44746</v>
      </c>
    </row>
    <row r="1056" spans="1:5" ht="14.25" customHeight="1">
      <c r="A1056" s="13">
        <v>1205</v>
      </c>
      <c r="B1056" s="13">
        <v>141967</v>
      </c>
      <c r="C1056" s="14">
        <v>44753</v>
      </c>
      <c r="D1056" s="15">
        <v>26</v>
      </c>
      <c r="E1056" t="str">
        <f t="shared" si="16"/>
        <v>1205-141967-44753</v>
      </c>
    </row>
    <row r="1057" spans="1:5" ht="14.25" customHeight="1">
      <c r="A1057" s="13">
        <v>1205</v>
      </c>
      <c r="B1057" s="13">
        <v>141967</v>
      </c>
      <c r="C1057" s="14">
        <v>44760</v>
      </c>
      <c r="D1057" s="15">
        <v>18</v>
      </c>
      <c r="E1057" t="str">
        <f t="shared" si="16"/>
        <v>1205-141967-44760</v>
      </c>
    </row>
    <row r="1058" spans="1:5" ht="14.25" customHeight="1">
      <c r="A1058" s="13">
        <v>1205</v>
      </c>
      <c r="B1058" s="13">
        <v>141967</v>
      </c>
      <c r="C1058" s="14">
        <v>44767</v>
      </c>
      <c r="D1058" s="15">
        <v>19</v>
      </c>
      <c r="E1058" t="str">
        <f t="shared" si="16"/>
        <v>1205-141967-44767</v>
      </c>
    </row>
    <row r="1059" spans="1:5" ht="14.25" customHeight="1">
      <c r="A1059" s="13">
        <v>1205</v>
      </c>
      <c r="B1059" s="13">
        <v>141967</v>
      </c>
      <c r="C1059" s="14">
        <v>44774</v>
      </c>
      <c r="D1059" s="15">
        <v>26</v>
      </c>
      <c r="E1059" t="str">
        <f t="shared" si="16"/>
        <v>1205-141967-44774</v>
      </c>
    </row>
    <row r="1060" spans="1:5" ht="14.25" customHeight="1">
      <c r="A1060" s="13">
        <v>1205</v>
      </c>
      <c r="B1060" s="13">
        <v>141967</v>
      </c>
      <c r="C1060" s="14">
        <v>44781</v>
      </c>
      <c r="D1060" s="15">
        <v>15</v>
      </c>
      <c r="E1060" t="str">
        <f t="shared" si="16"/>
        <v>1205-141967-44781</v>
      </c>
    </row>
    <row r="1061" spans="1:5" ht="14.25" customHeight="1">
      <c r="A1061" s="13">
        <v>1205</v>
      </c>
      <c r="B1061" s="13">
        <v>141967</v>
      </c>
      <c r="C1061" s="14">
        <v>44788</v>
      </c>
      <c r="D1061" s="15">
        <v>15</v>
      </c>
      <c r="E1061" t="str">
        <f t="shared" si="16"/>
        <v>1205-141967-44788</v>
      </c>
    </row>
    <row r="1062" spans="1:5" ht="14.25" customHeight="1">
      <c r="A1062" s="13">
        <v>1205</v>
      </c>
      <c r="B1062" s="13">
        <v>142194</v>
      </c>
      <c r="C1062" s="14">
        <v>44739</v>
      </c>
      <c r="D1062" s="15">
        <v>6</v>
      </c>
      <c r="E1062" t="str">
        <f t="shared" si="16"/>
        <v>1205-142194-44739</v>
      </c>
    </row>
    <row r="1063" spans="1:5" ht="14.25" customHeight="1">
      <c r="A1063" s="13">
        <v>1205</v>
      </c>
      <c r="B1063" s="13">
        <v>142194</v>
      </c>
      <c r="C1063" s="14">
        <v>44746</v>
      </c>
      <c r="D1063" s="15">
        <v>11</v>
      </c>
      <c r="E1063" t="str">
        <f t="shared" si="16"/>
        <v>1205-142194-44746</v>
      </c>
    </row>
    <row r="1064" spans="1:5" ht="14.25" customHeight="1">
      <c r="A1064" s="13">
        <v>1205</v>
      </c>
      <c r="B1064" s="13">
        <v>142194</v>
      </c>
      <c r="C1064" s="14">
        <v>44753</v>
      </c>
      <c r="D1064" s="15">
        <v>11</v>
      </c>
      <c r="E1064" t="str">
        <f t="shared" si="16"/>
        <v>1205-142194-44753</v>
      </c>
    </row>
    <row r="1065" spans="1:5" ht="14.25" customHeight="1">
      <c r="A1065" s="13">
        <v>1205</v>
      </c>
      <c r="B1065" s="13">
        <v>142194</v>
      </c>
      <c r="C1065" s="14">
        <v>44760</v>
      </c>
      <c r="D1065" s="15">
        <v>10</v>
      </c>
      <c r="E1065" t="str">
        <f t="shared" si="16"/>
        <v>1205-142194-44760</v>
      </c>
    </row>
    <row r="1066" spans="1:5" ht="14.25" customHeight="1">
      <c r="A1066" s="13">
        <v>1205</v>
      </c>
      <c r="B1066" s="13">
        <v>142194</v>
      </c>
      <c r="C1066" s="14">
        <v>44767</v>
      </c>
      <c r="D1066" s="15">
        <v>0</v>
      </c>
      <c r="E1066" t="str">
        <f t="shared" si="16"/>
        <v>1205-142194-44767</v>
      </c>
    </row>
    <row r="1067" spans="1:5" ht="14.25" customHeight="1">
      <c r="A1067" s="13">
        <v>1205</v>
      </c>
      <c r="B1067" s="13">
        <v>142194</v>
      </c>
      <c r="C1067" s="14">
        <v>44774</v>
      </c>
      <c r="D1067" s="15">
        <v>-1</v>
      </c>
      <c r="E1067" t="str">
        <f t="shared" si="16"/>
        <v>1205-142194-44774</v>
      </c>
    </row>
    <row r="1068" spans="1:5" ht="14.25" customHeight="1">
      <c r="A1068" s="13">
        <v>1205</v>
      </c>
      <c r="B1068" s="13">
        <v>142194</v>
      </c>
      <c r="C1068" s="14">
        <v>44781</v>
      </c>
      <c r="D1068" s="15">
        <v>7</v>
      </c>
      <c r="E1068" t="str">
        <f t="shared" si="16"/>
        <v>1205-142194-44781</v>
      </c>
    </row>
    <row r="1069" spans="1:5" ht="14.25" customHeight="1">
      <c r="A1069" s="13">
        <v>1205</v>
      </c>
      <c r="B1069" s="13">
        <v>142194</v>
      </c>
      <c r="C1069" s="14">
        <v>44788</v>
      </c>
      <c r="D1069" s="15">
        <v>6</v>
      </c>
      <c r="E1069" t="str">
        <f t="shared" si="16"/>
        <v>1205-142194-44788</v>
      </c>
    </row>
    <row r="1070" spans="1:5" ht="14.25" customHeight="1">
      <c r="A1070" s="13">
        <v>1205</v>
      </c>
      <c r="B1070" s="13">
        <v>149729</v>
      </c>
      <c r="C1070" s="14">
        <v>44739</v>
      </c>
      <c r="D1070" s="15">
        <v>22</v>
      </c>
      <c r="E1070" t="str">
        <f t="shared" si="16"/>
        <v>1205-149729-44739</v>
      </c>
    </row>
    <row r="1071" spans="1:5" ht="14.25" customHeight="1">
      <c r="A1071" s="13">
        <v>1205</v>
      </c>
      <c r="B1071" s="13">
        <v>149729</v>
      </c>
      <c r="C1071" s="14">
        <v>44746</v>
      </c>
      <c r="D1071" s="15">
        <v>18</v>
      </c>
      <c r="E1071" t="str">
        <f t="shared" si="16"/>
        <v>1205-149729-44746</v>
      </c>
    </row>
    <row r="1072" spans="1:5" ht="14.25" customHeight="1">
      <c r="A1072" s="13">
        <v>1205</v>
      </c>
      <c r="B1072" s="13">
        <v>149729</v>
      </c>
      <c r="C1072" s="14">
        <v>44753</v>
      </c>
      <c r="D1072" s="15">
        <v>23</v>
      </c>
      <c r="E1072" t="str">
        <f t="shared" si="16"/>
        <v>1205-149729-44753</v>
      </c>
    </row>
    <row r="1073" spans="1:5" ht="14.25" customHeight="1">
      <c r="A1073" s="13">
        <v>1205</v>
      </c>
      <c r="B1073" s="13">
        <v>149729</v>
      </c>
      <c r="C1073" s="14">
        <v>44760</v>
      </c>
      <c r="D1073" s="15">
        <v>18</v>
      </c>
      <c r="E1073" t="str">
        <f t="shared" si="16"/>
        <v>1205-149729-44760</v>
      </c>
    </row>
    <row r="1074" spans="1:5" ht="14.25" customHeight="1">
      <c r="A1074" s="13">
        <v>1205</v>
      </c>
      <c r="B1074" s="13">
        <v>149729</v>
      </c>
      <c r="C1074" s="14">
        <v>44767</v>
      </c>
      <c r="D1074" s="15">
        <v>19</v>
      </c>
      <c r="E1074" t="str">
        <f t="shared" si="16"/>
        <v>1205-149729-44767</v>
      </c>
    </row>
    <row r="1075" spans="1:5" ht="14.25" customHeight="1">
      <c r="A1075" s="13">
        <v>1205</v>
      </c>
      <c r="B1075" s="13">
        <v>149729</v>
      </c>
      <c r="C1075" s="14">
        <v>44774</v>
      </c>
      <c r="D1075" s="15">
        <v>22</v>
      </c>
      <c r="E1075" t="str">
        <f t="shared" si="16"/>
        <v>1205-149729-44774</v>
      </c>
    </row>
    <row r="1076" spans="1:5" ht="14.25" customHeight="1">
      <c r="A1076" s="13">
        <v>1205</v>
      </c>
      <c r="B1076" s="13">
        <v>149729</v>
      </c>
      <c r="C1076" s="14">
        <v>44781</v>
      </c>
      <c r="D1076" s="15">
        <v>9</v>
      </c>
      <c r="E1076" t="str">
        <f t="shared" si="16"/>
        <v>1205-149729-44781</v>
      </c>
    </row>
    <row r="1077" spans="1:5" ht="14.25" customHeight="1">
      <c r="A1077" s="13">
        <v>1205</v>
      </c>
      <c r="B1077" s="13">
        <v>149729</v>
      </c>
      <c r="C1077" s="14">
        <v>44788</v>
      </c>
      <c r="D1077" s="15">
        <v>11</v>
      </c>
      <c r="E1077" t="str">
        <f t="shared" si="16"/>
        <v>1205-149729-44788</v>
      </c>
    </row>
    <row r="1078" spans="1:5" ht="14.25" customHeight="1">
      <c r="A1078" s="13">
        <v>1205</v>
      </c>
      <c r="B1078" s="13">
        <v>149779</v>
      </c>
      <c r="C1078" s="14">
        <v>44739</v>
      </c>
      <c r="D1078" s="15">
        <v>37</v>
      </c>
      <c r="E1078" t="str">
        <f t="shared" si="16"/>
        <v>1205-149779-44739</v>
      </c>
    </row>
    <row r="1079" spans="1:5" ht="14.25" customHeight="1">
      <c r="A1079" s="13">
        <v>1205</v>
      </c>
      <c r="B1079" s="13">
        <v>149779</v>
      </c>
      <c r="C1079" s="14">
        <v>44746</v>
      </c>
      <c r="D1079" s="15">
        <v>107</v>
      </c>
      <c r="E1079" t="str">
        <f t="shared" si="16"/>
        <v>1205-149779-44746</v>
      </c>
    </row>
    <row r="1080" spans="1:5" ht="14.25" customHeight="1">
      <c r="A1080" s="13">
        <v>1205</v>
      </c>
      <c r="B1080" s="13">
        <v>149779</v>
      </c>
      <c r="C1080" s="14">
        <v>44753</v>
      </c>
      <c r="D1080" s="15">
        <v>117</v>
      </c>
      <c r="E1080" t="str">
        <f t="shared" si="16"/>
        <v>1205-149779-44753</v>
      </c>
    </row>
    <row r="1081" spans="1:5" ht="14.25" customHeight="1">
      <c r="A1081" s="13">
        <v>1205</v>
      </c>
      <c r="B1081" s="13">
        <v>149779</v>
      </c>
      <c r="C1081" s="14">
        <v>44760</v>
      </c>
      <c r="D1081" s="15">
        <v>88</v>
      </c>
      <c r="E1081" t="str">
        <f t="shared" si="16"/>
        <v>1205-149779-44760</v>
      </c>
    </row>
    <row r="1082" spans="1:5" ht="14.25" customHeight="1">
      <c r="A1082" s="13">
        <v>1205</v>
      </c>
      <c r="B1082" s="13">
        <v>149779</v>
      </c>
      <c r="C1082" s="14">
        <v>44767</v>
      </c>
      <c r="D1082" s="15">
        <v>36</v>
      </c>
      <c r="E1082" t="str">
        <f t="shared" si="16"/>
        <v>1205-149779-44767</v>
      </c>
    </row>
    <row r="1083" spans="1:5" ht="14.25" customHeight="1">
      <c r="A1083" s="13">
        <v>1205</v>
      </c>
      <c r="B1083" s="13">
        <v>149779</v>
      </c>
      <c r="C1083" s="14">
        <v>44774</v>
      </c>
      <c r="D1083" s="15">
        <v>79</v>
      </c>
      <c r="E1083" t="str">
        <f t="shared" si="16"/>
        <v>1205-149779-44774</v>
      </c>
    </row>
    <row r="1084" spans="1:5" ht="14.25" customHeight="1">
      <c r="A1084" s="13">
        <v>1205</v>
      </c>
      <c r="B1084" s="13">
        <v>149779</v>
      </c>
      <c r="C1084" s="14">
        <v>44781</v>
      </c>
      <c r="D1084" s="15">
        <v>30</v>
      </c>
      <c r="E1084" t="str">
        <f t="shared" si="16"/>
        <v>1205-149779-44781</v>
      </c>
    </row>
    <row r="1085" spans="1:5" ht="14.25" customHeight="1">
      <c r="A1085" s="13">
        <v>1205</v>
      </c>
      <c r="B1085" s="13">
        <v>149779</v>
      </c>
      <c r="C1085" s="14">
        <v>44788</v>
      </c>
      <c r="D1085" s="15">
        <v>78</v>
      </c>
      <c r="E1085" t="str">
        <f t="shared" si="16"/>
        <v>1205-149779-44788</v>
      </c>
    </row>
    <row r="1086" spans="1:5" ht="14.25" customHeight="1">
      <c r="A1086" s="13">
        <v>1205</v>
      </c>
      <c r="B1086" s="13">
        <v>189933</v>
      </c>
      <c r="C1086" s="14">
        <v>44739</v>
      </c>
      <c r="D1086" s="15">
        <v>44</v>
      </c>
      <c r="E1086" t="str">
        <f t="shared" si="16"/>
        <v>1205-189933-44739</v>
      </c>
    </row>
    <row r="1087" spans="1:5" ht="14.25" customHeight="1">
      <c r="A1087" s="13">
        <v>1205</v>
      </c>
      <c r="B1087" s="13">
        <v>189933</v>
      </c>
      <c r="C1087" s="14">
        <v>44746</v>
      </c>
      <c r="D1087" s="15">
        <v>11</v>
      </c>
      <c r="E1087" t="str">
        <f t="shared" si="16"/>
        <v>1205-189933-44746</v>
      </c>
    </row>
    <row r="1088" spans="1:5" ht="14.25" customHeight="1">
      <c r="A1088" s="13">
        <v>1205</v>
      </c>
      <c r="B1088" s="13">
        <v>189933</v>
      </c>
      <c r="C1088" s="14">
        <v>44753</v>
      </c>
      <c r="D1088" s="15">
        <v>45</v>
      </c>
      <c r="E1088" t="str">
        <f t="shared" si="16"/>
        <v>1205-189933-44753</v>
      </c>
    </row>
    <row r="1089" spans="1:5" ht="14.25" customHeight="1">
      <c r="A1089" s="13">
        <v>1205</v>
      </c>
      <c r="B1089" s="13">
        <v>189933</v>
      </c>
      <c r="C1089" s="14">
        <v>44760</v>
      </c>
      <c r="D1089" s="15">
        <v>37</v>
      </c>
      <c r="E1089" t="str">
        <f t="shared" si="16"/>
        <v>1205-189933-44760</v>
      </c>
    </row>
    <row r="1090" spans="1:5" ht="14.25" customHeight="1">
      <c r="A1090" s="13">
        <v>1205</v>
      </c>
      <c r="B1090" s="13">
        <v>189933</v>
      </c>
      <c r="C1090" s="14">
        <v>44767</v>
      </c>
      <c r="D1090" s="15">
        <v>36</v>
      </c>
      <c r="E1090" t="str">
        <f t="shared" si="16"/>
        <v>1205-189933-44767</v>
      </c>
    </row>
    <row r="1091" spans="1:5" ht="14.25" customHeight="1">
      <c r="A1091" s="13">
        <v>1205</v>
      </c>
      <c r="B1091" s="13">
        <v>189933</v>
      </c>
      <c r="C1091" s="14">
        <v>44774</v>
      </c>
      <c r="D1091" s="15">
        <v>47</v>
      </c>
      <c r="E1091" t="str">
        <f t="shared" ref="E1091:E1154" si="17">A1091&amp;"-"&amp;B1091&amp;"-"&amp;INT(C1091)</f>
        <v>1205-189933-44774</v>
      </c>
    </row>
    <row r="1092" spans="1:5" ht="14.25" customHeight="1">
      <c r="A1092" s="13">
        <v>1205</v>
      </c>
      <c r="B1092" s="13">
        <v>189933</v>
      </c>
      <c r="C1092" s="14">
        <v>44781</v>
      </c>
      <c r="D1092" s="15">
        <v>8</v>
      </c>
      <c r="E1092" t="str">
        <f t="shared" si="17"/>
        <v>1205-189933-44781</v>
      </c>
    </row>
    <row r="1093" spans="1:5" ht="14.25" customHeight="1">
      <c r="A1093" s="13">
        <v>1205</v>
      </c>
      <c r="B1093" s="13">
        <v>189933</v>
      </c>
      <c r="C1093" s="14">
        <v>44788</v>
      </c>
      <c r="D1093" s="15">
        <v>36</v>
      </c>
      <c r="E1093" t="str">
        <f t="shared" si="17"/>
        <v>1205-189933-44788</v>
      </c>
    </row>
    <row r="1094" spans="1:5" ht="14.25" customHeight="1">
      <c r="A1094" s="13">
        <v>1205</v>
      </c>
      <c r="B1094" s="13">
        <v>202577</v>
      </c>
      <c r="C1094" s="14">
        <v>44739</v>
      </c>
      <c r="D1094" s="15">
        <v>15</v>
      </c>
      <c r="E1094" t="str">
        <f t="shared" si="17"/>
        <v>1205-202577-44739</v>
      </c>
    </row>
    <row r="1095" spans="1:5" ht="14.25" customHeight="1">
      <c r="A1095" s="13">
        <v>1205</v>
      </c>
      <c r="B1095" s="13">
        <v>202577</v>
      </c>
      <c r="C1095" s="14">
        <v>44746</v>
      </c>
      <c r="D1095" s="15">
        <v>11</v>
      </c>
      <c r="E1095" t="str">
        <f t="shared" si="17"/>
        <v>1205-202577-44746</v>
      </c>
    </row>
    <row r="1096" spans="1:5" ht="14.25" customHeight="1">
      <c r="A1096" s="13">
        <v>1205</v>
      </c>
      <c r="B1096" s="13">
        <v>202577</v>
      </c>
      <c r="C1096" s="14">
        <v>44753</v>
      </c>
      <c r="D1096" s="15">
        <v>33</v>
      </c>
      <c r="E1096" t="str">
        <f t="shared" si="17"/>
        <v>1205-202577-44753</v>
      </c>
    </row>
    <row r="1097" spans="1:5" ht="14.25" customHeight="1">
      <c r="A1097" s="13">
        <v>1205</v>
      </c>
      <c r="B1097" s="13">
        <v>202577</v>
      </c>
      <c r="C1097" s="14">
        <v>44760</v>
      </c>
      <c r="D1097" s="15">
        <v>33</v>
      </c>
      <c r="E1097" t="str">
        <f t="shared" si="17"/>
        <v>1205-202577-44760</v>
      </c>
    </row>
    <row r="1098" spans="1:5" ht="14.25" customHeight="1">
      <c r="A1098" s="13">
        <v>1205</v>
      </c>
      <c r="B1098" s="13">
        <v>202577</v>
      </c>
      <c r="C1098" s="14">
        <v>44767</v>
      </c>
      <c r="D1098" s="15">
        <v>9</v>
      </c>
      <c r="E1098" t="str">
        <f t="shared" si="17"/>
        <v>1205-202577-44767</v>
      </c>
    </row>
    <row r="1099" spans="1:5" ht="14.25" customHeight="1">
      <c r="A1099" s="13">
        <v>1205</v>
      </c>
      <c r="B1099" s="13">
        <v>202577</v>
      </c>
      <c r="C1099" s="14">
        <v>44774</v>
      </c>
      <c r="D1099" s="15">
        <v>16</v>
      </c>
      <c r="E1099" t="str">
        <f t="shared" si="17"/>
        <v>1205-202577-44774</v>
      </c>
    </row>
    <row r="1100" spans="1:5" ht="14.25" customHeight="1">
      <c r="A1100" s="13">
        <v>1205</v>
      </c>
      <c r="B1100" s="13">
        <v>202577</v>
      </c>
      <c r="C1100" s="14">
        <v>44781</v>
      </c>
      <c r="D1100" s="15">
        <v>35</v>
      </c>
      <c r="E1100" t="str">
        <f t="shared" si="17"/>
        <v>1205-202577-44781</v>
      </c>
    </row>
    <row r="1101" spans="1:5" ht="14.25" customHeight="1">
      <c r="A1101" s="13">
        <v>1205</v>
      </c>
      <c r="B1101" s="13">
        <v>202577</v>
      </c>
      <c r="C1101" s="14">
        <v>44788</v>
      </c>
      <c r="D1101" s="15">
        <v>15</v>
      </c>
      <c r="E1101" t="str">
        <f t="shared" si="17"/>
        <v>1205-202577-44788</v>
      </c>
    </row>
    <row r="1102" spans="1:5" ht="14.25" customHeight="1">
      <c r="A1102" s="13">
        <v>1205</v>
      </c>
      <c r="B1102" s="13">
        <v>234334</v>
      </c>
      <c r="C1102" s="14">
        <v>44739</v>
      </c>
      <c r="D1102" s="15">
        <v>32</v>
      </c>
      <c r="E1102" t="str">
        <f t="shared" si="17"/>
        <v>1205-234334-44739</v>
      </c>
    </row>
    <row r="1103" spans="1:5" ht="14.25" customHeight="1">
      <c r="A1103" s="13">
        <v>1205</v>
      </c>
      <c r="B1103" s="13">
        <v>234334</v>
      </c>
      <c r="C1103" s="14">
        <v>44746</v>
      </c>
      <c r="D1103" s="15">
        <v>34</v>
      </c>
      <c r="E1103" t="str">
        <f t="shared" si="17"/>
        <v>1205-234334-44746</v>
      </c>
    </row>
    <row r="1104" spans="1:5" ht="14.25" customHeight="1">
      <c r="A1104" s="13">
        <v>1205</v>
      </c>
      <c r="B1104" s="13">
        <v>234334</v>
      </c>
      <c r="C1104" s="14">
        <v>44753</v>
      </c>
      <c r="D1104" s="15">
        <v>24</v>
      </c>
      <c r="E1104" t="str">
        <f t="shared" si="17"/>
        <v>1205-234334-44753</v>
      </c>
    </row>
    <row r="1105" spans="1:5" ht="14.25" customHeight="1">
      <c r="A1105" s="13">
        <v>1205</v>
      </c>
      <c r="B1105" s="13">
        <v>234334</v>
      </c>
      <c r="C1105" s="14">
        <v>44760</v>
      </c>
      <c r="D1105" s="15">
        <v>18</v>
      </c>
      <c r="E1105" t="str">
        <f t="shared" si="17"/>
        <v>1205-234334-44760</v>
      </c>
    </row>
    <row r="1106" spans="1:5" ht="14.25" customHeight="1">
      <c r="A1106" s="13">
        <v>1205</v>
      </c>
      <c r="B1106" s="13">
        <v>234334</v>
      </c>
      <c r="C1106" s="14">
        <v>44767</v>
      </c>
      <c r="D1106" s="15">
        <v>36</v>
      </c>
      <c r="E1106" t="str">
        <f t="shared" si="17"/>
        <v>1205-234334-44767</v>
      </c>
    </row>
    <row r="1107" spans="1:5" ht="14.25" customHeight="1">
      <c r="A1107" s="13">
        <v>1205</v>
      </c>
      <c r="B1107" s="13">
        <v>234334</v>
      </c>
      <c r="C1107" s="14">
        <v>44774</v>
      </c>
      <c r="D1107" s="15">
        <v>18</v>
      </c>
      <c r="E1107" t="str">
        <f t="shared" si="17"/>
        <v>1205-234334-44774</v>
      </c>
    </row>
    <row r="1108" spans="1:5" ht="14.25" customHeight="1">
      <c r="A1108" s="13">
        <v>1205</v>
      </c>
      <c r="B1108" s="13">
        <v>234334</v>
      </c>
      <c r="C1108" s="14">
        <v>44781</v>
      </c>
      <c r="D1108" s="15">
        <v>30</v>
      </c>
      <c r="E1108" t="str">
        <f t="shared" si="17"/>
        <v>1205-234334-44781</v>
      </c>
    </row>
    <row r="1109" spans="1:5" ht="14.25" customHeight="1">
      <c r="A1109" s="13">
        <v>1205</v>
      </c>
      <c r="B1109" s="13">
        <v>234334</v>
      </c>
      <c r="C1109" s="14">
        <v>44788</v>
      </c>
      <c r="D1109" s="15">
        <v>30</v>
      </c>
      <c r="E1109" t="str">
        <f t="shared" si="17"/>
        <v>1205-234334-44788</v>
      </c>
    </row>
    <row r="1110" spans="1:5" ht="14.25" customHeight="1">
      <c r="A1110" s="13">
        <v>1205</v>
      </c>
      <c r="B1110" s="13">
        <v>249444</v>
      </c>
      <c r="C1110" s="14">
        <v>44739</v>
      </c>
      <c r="D1110" s="15">
        <v>180</v>
      </c>
      <c r="E1110" t="str">
        <f t="shared" si="17"/>
        <v>1205-249444-44739</v>
      </c>
    </row>
    <row r="1111" spans="1:5" ht="14.25" customHeight="1">
      <c r="A1111" s="13">
        <v>1205</v>
      </c>
      <c r="B1111" s="13">
        <v>249444</v>
      </c>
      <c r="C1111" s="14">
        <v>44746</v>
      </c>
      <c r="D1111" s="15">
        <v>663</v>
      </c>
      <c r="E1111" t="str">
        <f t="shared" si="17"/>
        <v>1205-249444-44746</v>
      </c>
    </row>
    <row r="1112" spans="1:5" ht="14.25" customHeight="1">
      <c r="A1112" s="13">
        <v>1205</v>
      </c>
      <c r="B1112" s="13">
        <v>249444</v>
      </c>
      <c r="C1112" s="14">
        <v>44753</v>
      </c>
      <c r="D1112" s="15">
        <v>688</v>
      </c>
      <c r="E1112" t="str">
        <f t="shared" si="17"/>
        <v>1205-249444-44753</v>
      </c>
    </row>
    <row r="1113" spans="1:5" ht="14.25" customHeight="1">
      <c r="A1113" s="13">
        <v>1205</v>
      </c>
      <c r="B1113" s="13">
        <v>249444</v>
      </c>
      <c r="C1113" s="14">
        <v>44760</v>
      </c>
      <c r="D1113" s="15">
        <v>178</v>
      </c>
      <c r="E1113" t="str">
        <f t="shared" si="17"/>
        <v>1205-249444-44760</v>
      </c>
    </row>
    <row r="1114" spans="1:5" ht="14.25" customHeight="1">
      <c r="A1114" s="13">
        <v>1205</v>
      </c>
      <c r="B1114" s="13">
        <v>249444</v>
      </c>
      <c r="C1114" s="14">
        <v>44767</v>
      </c>
      <c r="D1114" s="15">
        <v>180</v>
      </c>
      <c r="E1114" t="str">
        <f t="shared" si="17"/>
        <v>1205-249444-44767</v>
      </c>
    </row>
    <row r="1115" spans="1:5" ht="14.25" customHeight="1">
      <c r="A1115" s="13">
        <v>1205</v>
      </c>
      <c r="B1115" s="13">
        <v>249444</v>
      </c>
      <c r="C1115" s="14">
        <v>44774</v>
      </c>
      <c r="D1115" s="15">
        <v>239</v>
      </c>
      <c r="E1115" t="str">
        <f t="shared" si="17"/>
        <v>1205-249444-44774</v>
      </c>
    </row>
    <row r="1116" spans="1:5" ht="14.25" customHeight="1">
      <c r="A1116" s="13">
        <v>1205</v>
      </c>
      <c r="B1116" s="13">
        <v>249444</v>
      </c>
      <c r="C1116" s="14">
        <v>44781</v>
      </c>
      <c r="D1116" s="15">
        <v>181</v>
      </c>
      <c r="E1116" t="str">
        <f t="shared" si="17"/>
        <v>1205-249444-44781</v>
      </c>
    </row>
    <row r="1117" spans="1:5" ht="14.25" customHeight="1">
      <c r="A1117" s="13">
        <v>1205</v>
      </c>
      <c r="B1117" s="13">
        <v>249444</v>
      </c>
      <c r="C1117" s="14">
        <v>44788</v>
      </c>
      <c r="D1117" s="15">
        <v>734</v>
      </c>
      <c r="E1117" t="str">
        <f t="shared" si="17"/>
        <v>1205-249444-44788</v>
      </c>
    </row>
    <row r="1118" spans="1:5" ht="14.25" customHeight="1">
      <c r="A1118" s="13">
        <v>1205</v>
      </c>
      <c r="B1118" s="13">
        <v>249795</v>
      </c>
      <c r="C1118" s="14">
        <v>44739</v>
      </c>
      <c r="D1118" s="15">
        <v>54</v>
      </c>
      <c r="E1118" t="str">
        <f t="shared" si="17"/>
        <v>1205-249795-44739</v>
      </c>
    </row>
    <row r="1119" spans="1:5" ht="14.25" customHeight="1">
      <c r="A1119" s="13">
        <v>1205</v>
      </c>
      <c r="B1119" s="13">
        <v>249795</v>
      </c>
      <c r="C1119" s="14">
        <v>44746</v>
      </c>
      <c r="D1119" s="15">
        <v>78</v>
      </c>
      <c r="E1119" t="str">
        <f t="shared" si="17"/>
        <v>1205-249795-44746</v>
      </c>
    </row>
    <row r="1120" spans="1:5" ht="14.25" customHeight="1">
      <c r="A1120" s="13">
        <v>1205</v>
      </c>
      <c r="B1120" s="13">
        <v>249795</v>
      </c>
      <c r="C1120" s="14">
        <v>44753</v>
      </c>
      <c r="D1120" s="15">
        <v>31</v>
      </c>
      <c r="E1120" t="str">
        <f t="shared" si="17"/>
        <v>1205-249795-44753</v>
      </c>
    </row>
    <row r="1121" spans="1:5" ht="14.25" customHeight="1">
      <c r="A1121" s="13">
        <v>1205</v>
      </c>
      <c r="B1121" s="13">
        <v>249795</v>
      </c>
      <c r="C1121" s="14">
        <v>44760</v>
      </c>
      <c r="D1121" s="15">
        <v>28</v>
      </c>
      <c r="E1121" t="str">
        <f t="shared" si="17"/>
        <v>1205-249795-44760</v>
      </c>
    </row>
    <row r="1122" spans="1:5" ht="14.25" customHeight="1">
      <c r="A1122" s="13">
        <v>1205</v>
      </c>
      <c r="B1122" s="13">
        <v>249795</v>
      </c>
      <c r="C1122" s="14">
        <v>44767</v>
      </c>
      <c r="D1122" s="15">
        <v>78</v>
      </c>
      <c r="E1122" t="str">
        <f t="shared" si="17"/>
        <v>1205-249795-44767</v>
      </c>
    </row>
    <row r="1123" spans="1:5" ht="14.25" customHeight="1">
      <c r="A1123" s="13">
        <v>1205</v>
      </c>
      <c r="B1123" s="13">
        <v>249795</v>
      </c>
      <c r="C1123" s="14">
        <v>44774</v>
      </c>
      <c r="D1123" s="15">
        <v>100</v>
      </c>
      <c r="E1123" t="str">
        <f t="shared" si="17"/>
        <v>1205-249795-44774</v>
      </c>
    </row>
    <row r="1124" spans="1:5" ht="14.25" customHeight="1">
      <c r="A1124" s="13">
        <v>1205</v>
      </c>
      <c r="B1124" s="13">
        <v>249795</v>
      </c>
      <c r="C1124" s="14">
        <v>44781</v>
      </c>
      <c r="D1124" s="15">
        <v>25</v>
      </c>
      <c r="E1124" t="str">
        <f t="shared" si="17"/>
        <v>1205-249795-44781</v>
      </c>
    </row>
    <row r="1125" spans="1:5" ht="14.25" customHeight="1">
      <c r="A1125" s="13">
        <v>1205</v>
      </c>
      <c r="B1125" s="13">
        <v>249795</v>
      </c>
      <c r="C1125" s="14">
        <v>44788</v>
      </c>
      <c r="D1125" s="15">
        <v>70</v>
      </c>
      <c r="E1125" t="str">
        <f t="shared" si="17"/>
        <v>1205-249795-44788</v>
      </c>
    </row>
    <row r="1126" spans="1:5" ht="14.25" customHeight="1">
      <c r="A1126" s="13">
        <v>1205</v>
      </c>
      <c r="B1126" s="13">
        <v>250979</v>
      </c>
      <c r="C1126" s="14">
        <v>44739</v>
      </c>
      <c r="D1126" s="15">
        <v>37</v>
      </c>
      <c r="E1126" t="str">
        <f t="shared" si="17"/>
        <v>1205-250979-44739</v>
      </c>
    </row>
    <row r="1127" spans="1:5" ht="14.25" customHeight="1">
      <c r="A1127" s="13">
        <v>1205</v>
      </c>
      <c r="B1127" s="13">
        <v>250979</v>
      </c>
      <c r="C1127" s="14">
        <v>44746</v>
      </c>
      <c r="D1127" s="15">
        <v>33</v>
      </c>
      <c r="E1127" t="str">
        <f t="shared" si="17"/>
        <v>1205-250979-44746</v>
      </c>
    </row>
    <row r="1128" spans="1:5" ht="14.25" customHeight="1">
      <c r="A1128" s="13">
        <v>1205</v>
      </c>
      <c r="B1128" s="13">
        <v>250979</v>
      </c>
      <c r="C1128" s="14">
        <v>44753</v>
      </c>
      <c r="D1128" s="15">
        <v>33</v>
      </c>
      <c r="E1128" t="str">
        <f t="shared" si="17"/>
        <v>1205-250979-44753</v>
      </c>
    </row>
    <row r="1129" spans="1:5" ht="14.25" customHeight="1">
      <c r="A1129" s="13">
        <v>1205</v>
      </c>
      <c r="B1129" s="13">
        <v>250979</v>
      </c>
      <c r="C1129" s="14">
        <v>44760</v>
      </c>
      <c r="D1129" s="15">
        <v>36</v>
      </c>
      <c r="E1129" t="str">
        <f t="shared" si="17"/>
        <v>1205-250979-44760</v>
      </c>
    </row>
    <row r="1130" spans="1:5" ht="14.25" customHeight="1">
      <c r="A1130" s="13">
        <v>1205</v>
      </c>
      <c r="B1130" s="13">
        <v>250979</v>
      </c>
      <c r="C1130" s="14">
        <v>44767</v>
      </c>
      <c r="D1130" s="15">
        <v>33</v>
      </c>
      <c r="E1130" t="str">
        <f t="shared" si="17"/>
        <v>1205-250979-44767</v>
      </c>
    </row>
    <row r="1131" spans="1:5" ht="14.25" customHeight="1">
      <c r="A1131" s="13">
        <v>1205</v>
      </c>
      <c r="B1131" s="13">
        <v>250979</v>
      </c>
      <c r="C1131" s="14">
        <v>44774</v>
      </c>
      <c r="D1131" s="15">
        <v>37</v>
      </c>
      <c r="E1131" t="str">
        <f t="shared" si="17"/>
        <v>1205-250979-44774</v>
      </c>
    </row>
    <row r="1132" spans="1:5" ht="14.25" customHeight="1">
      <c r="A1132" s="13">
        <v>1205</v>
      </c>
      <c r="B1132" s="13">
        <v>250979</v>
      </c>
      <c r="C1132" s="14">
        <v>44781</v>
      </c>
      <c r="D1132" s="15">
        <v>29</v>
      </c>
      <c r="E1132" t="str">
        <f t="shared" si="17"/>
        <v>1205-250979-44781</v>
      </c>
    </row>
    <row r="1133" spans="1:5" ht="14.25" customHeight="1">
      <c r="A1133" s="13">
        <v>1205</v>
      </c>
      <c r="B1133" s="13">
        <v>250979</v>
      </c>
      <c r="C1133" s="14">
        <v>44788</v>
      </c>
      <c r="D1133" s="15">
        <v>33</v>
      </c>
      <c r="E1133" t="str">
        <f t="shared" si="17"/>
        <v>1205-250979-44788</v>
      </c>
    </row>
    <row r="1134" spans="1:5" ht="14.25" customHeight="1">
      <c r="A1134" s="13">
        <v>1205</v>
      </c>
      <c r="B1134" s="13">
        <v>250981</v>
      </c>
      <c r="C1134" s="14">
        <v>44739</v>
      </c>
      <c r="D1134" s="15">
        <v>155</v>
      </c>
      <c r="E1134" t="str">
        <f t="shared" si="17"/>
        <v>1205-250981-44739</v>
      </c>
    </row>
    <row r="1135" spans="1:5" ht="14.25" customHeight="1">
      <c r="A1135" s="13">
        <v>1205</v>
      </c>
      <c r="B1135" s="13">
        <v>250981</v>
      </c>
      <c r="C1135" s="14">
        <v>44746</v>
      </c>
      <c r="D1135" s="15">
        <v>42</v>
      </c>
      <c r="E1135" t="str">
        <f t="shared" si="17"/>
        <v>1205-250981-44746</v>
      </c>
    </row>
    <row r="1136" spans="1:5" ht="14.25" customHeight="1">
      <c r="A1136" s="13">
        <v>1205</v>
      </c>
      <c r="B1136" s="13">
        <v>250981</v>
      </c>
      <c r="C1136" s="14">
        <v>44753</v>
      </c>
      <c r="D1136" s="15">
        <v>34</v>
      </c>
      <c r="E1136" t="str">
        <f t="shared" si="17"/>
        <v>1205-250981-44753</v>
      </c>
    </row>
    <row r="1137" spans="1:5" ht="14.25" customHeight="1">
      <c r="A1137" s="13">
        <v>1205</v>
      </c>
      <c r="B1137" s="13">
        <v>250981</v>
      </c>
      <c r="C1137" s="14">
        <v>44760</v>
      </c>
      <c r="D1137" s="15">
        <v>108</v>
      </c>
      <c r="E1137" t="str">
        <f t="shared" si="17"/>
        <v>1205-250981-44760</v>
      </c>
    </row>
    <row r="1138" spans="1:5" ht="14.25" customHeight="1">
      <c r="A1138" s="13">
        <v>1205</v>
      </c>
      <c r="B1138" s="13">
        <v>250981</v>
      </c>
      <c r="C1138" s="14">
        <v>44767</v>
      </c>
      <c r="D1138" s="15">
        <v>27</v>
      </c>
      <c r="E1138" t="str">
        <f t="shared" si="17"/>
        <v>1205-250981-44767</v>
      </c>
    </row>
    <row r="1139" spans="1:5" ht="14.25" customHeight="1">
      <c r="A1139" s="13">
        <v>1205</v>
      </c>
      <c r="B1139" s="13">
        <v>250981</v>
      </c>
      <c r="C1139" s="14">
        <v>44774</v>
      </c>
      <c r="D1139" s="15">
        <v>35</v>
      </c>
      <c r="E1139" t="str">
        <f t="shared" si="17"/>
        <v>1205-250981-44774</v>
      </c>
    </row>
    <row r="1140" spans="1:5" ht="14.25" customHeight="1">
      <c r="A1140" s="13">
        <v>1205</v>
      </c>
      <c r="B1140" s="13">
        <v>250981</v>
      </c>
      <c r="C1140" s="14">
        <v>44781</v>
      </c>
      <c r="D1140" s="15">
        <v>140</v>
      </c>
      <c r="E1140" t="str">
        <f t="shared" si="17"/>
        <v>1205-250981-44781</v>
      </c>
    </row>
    <row r="1141" spans="1:5" ht="14.25" customHeight="1">
      <c r="A1141" s="13">
        <v>1205</v>
      </c>
      <c r="B1141" s="13">
        <v>250981</v>
      </c>
      <c r="C1141" s="14">
        <v>44788</v>
      </c>
      <c r="D1141" s="15">
        <v>32</v>
      </c>
      <c r="E1141" t="str">
        <f t="shared" si="17"/>
        <v>1205-250981-44788</v>
      </c>
    </row>
    <row r="1142" spans="1:5" ht="14.25" customHeight="1">
      <c r="A1142" s="16">
        <v>1205</v>
      </c>
      <c r="B1142" s="13">
        <v>262294</v>
      </c>
      <c r="C1142" s="14">
        <v>44739</v>
      </c>
      <c r="D1142" s="15">
        <v>736</v>
      </c>
      <c r="E1142" t="str">
        <f t="shared" si="17"/>
        <v>1205-262294-44739</v>
      </c>
    </row>
    <row r="1143" spans="1:5" ht="14.25" customHeight="1">
      <c r="A1143" s="13">
        <v>1205</v>
      </c>
      <c r="B1143" s="13">
        <v>262294</v>
      </c>
      <c r="C1143" s="14">
        <v>44746</v>
      </c>
      <c r="D1143" s="15">
        <v>145</v>
      </c>
      <c r="E1143" t="str">
        <f t="shared" si="17"/>
        <v>1205-262294-44746</v>
      </c>
    </row>
    <row r="1144" spans="1:5" ht="14.25" customHeight="1">
      <c r="A1144" s="13">
        <v>1205</v>
      </c>
      <c r="B1144" s="13">
        <v>262294</v>
      </c>
      <c r="C1144" s="14">
        <v>44753</v>
      </c>
      <c r="D1144" s="15">
        <v>142</v>
      </c>
      <c r="E1144" t="str">
        <f t="shared" si="17"/>
        <v>1205-262294-44753</v>
      </c>
    </row>
    <row r="1145" spans="1:5" ht="14.25" customHeight="1">
      <c r="A1145" s="13">
        <v>1205</v>
      </c>
      <c r="B1145" s="13">
        <v>262294</v>
      </c>
      <c r="C1145" s="14">
        <v>44760</v>
      </c>
      <c r="D1145" s="15">
        <v>528</v>
      </c>
      <c r="E1145" t="str">
        <f t="shared" si="17"/>
        <v>1205-262294-44760</v>
      </c>
    </row>
    <row r="1146" spans="1:5" ht="14.25" customHeight="1">
      <c r="A1146" s="13">
        <v>1205</v>
      </c>
      <c r="B1146" s="13">
        <v>262294</v>
      </c>
      <c r="C1146" s="14">
        <v>44767</v>
      </c>
      <c r="D1146" s="15">
        <v>143</v>
      </c>
      <c r="E1146" t="str">
        <f t="shared" si="17"/>
        <v>1205-262294-44767</v>
      </c>
    </row>
    <row r="1147" spans="1:5" ht="14.25" customHeight="1">
      <c r="A1147" s="13">
        <v>1205</v>
      </c>
      <c r="B1147" s="13">
        <v>262294</v>
      </c>
      <c r="C1147" s="14">
        <v>44774</v>
      </c>
      <c r="D1147" s="15">
        <v>779</v>
      </c>
      <c r="E1147" t="str">
        <f t="shared" si="17"/>
        <v>1205-262294-44774</v>
      </c>
    </row>
    <row r="1148" spans="1:5" ht="14.25" customHeight="1">
      <c r="A1148" s="13">
        <v>1205</v>
      </c>
      <c r="B1148" s="13">
        <v>262294</v>
      </c>
      <c r="C1148" s="14">
        <v>44781</v>
      </c>
      <c r="D1148" s="15">
        <v>143</v>
      </c>
      <c r="E1148" t="str">
        <f t="shared" si="17"/>
        <v>1205-262294-44781</v>
      </c>
    </row>
    <row r="1149" spans="1:5" ht="14.25" customHeight="1">
      <c r="A1149" s="13">
        <v>1205</v>
      </c>
      <c r="B1149" s="13">
        <v>262294</v>
      </c>
      <c r="C1149" s="14">
        <v>44788</v>
      </c>
      <c r="D1149" s="15">
        <v>145</v>
      </c>
      <c r="E1149" t="str">
        <f t="shared" si="17"/>
        <v>1205-262294-44788</v>
      </c>
    </row>
    <row r="1150" spans="1:5" ht="14.25" customHeight="1">
      <c r="A1150" s="13">
        <v>1205</v>
      </c>
      <c r="B1150" s="13">
        <v>268831</v>
      </c>
      <c r="C1150" s="14">
        <v>44739</v>
      </c>
      <c r="D1150" s="15">
        <v>296</v>
      </c>
      <c r="E1150" t="str">
        <f t="shared" si="17"/>
        <v>1205-268831-44739</v>
      </c>
    </row>
    <row r="1151" spans="1:5" ht="14.25" customHeight="1">
      <c r="A1151" s="13">
        <v>1205</v>
      </c>
      <c r="B1151" s="13">
        <v>268831</v>
      </c>
      <c r="C1151" s="14">
        <v>44746</v>
      </c>
      <c r="D1151" s="15">
        <v>767</v>
      </c>
      <c r="E1151" t="str">
        <f t="shared" si="17"/>
        <v>1205-268831-44746</v>
      </c>
    </row>
    <row r="1152" spans="1:5" ht="14.25" customHeight="1">
      <c r="A1152" s="13">
        <v>1205</v>
      </c>
      <c r="B1152" s="13">
        <v>268831</v>
      </c>
      <c r="C1152" s="14">
        <v>44753</v>
      </c>
      <c r="D1152" s="15">
        <v>294</v>
      </c>
      <c r="E1152" t="str">
        <f t="shared" si="17"/>
        <v>1205-268831-44753</v>
      </c>
    </row>
    <row r="1153" spans="1:5" ht="14.25" customHeight="1">
      <c r="A1153" s="13">
        <v>1205</v>
      </c>
      <c r="B1153" s="13">
        <v>268831</v>
      </c>
      <c r="C1153" s="14">
        <v>44760</v>
      </c>
      <c r="D1153" s="15">
        <v>755</v>
      </c>
      <c r="E1153" t="str">
        <f t="shared" si="17"/>
        <v>1205-268831-44760</v>
      </c>
    </row>
    <row r="1154" spans="1:5" ht="14.25" customHeight="1">
      <c r="A1154" s="13">
        <v>1205</v>
      </c>
      <c r="B1154" s="13">
        <v>268831</v>
      </c>
      <c r="C1154" s="14">
        <v>44767</v>
      </c>
      <c r="D1154" s="15">
        <v>682</v>
      </c>
      <c r="E1154" t="str">
        <f t="shared" si="17"/>
        <v>1205-268831-44767</v>
      </c>
    </row>
    <row r="1155" spans="1:5" ht="14.25" customHeight="1">
      <c r="A1155" s="13">
        <v>1205</v>
      </c>
      <c r="B1155" s="13">
        <v>268831</v>
      </c>
      <c r="C1155" s="14">
        <v>44774</v>
      </c>
      <c r="D1155" s="15">
        <v>675</v>
      </c>
      <c r="E1155" t="str">
        <f t="shared" ref="E1155:E1218" si="18">A1155&amp;"-"&amp;B1155&amp;"-"&amp;INT(C1155)</f>
        <v>1205-268831-44774</v>
      </c>
    </row>
    <row r="1156" spans="1:5" ht="14.25" customHeight="1">
      <c r="A1156" s="13">
        <v>1205</v>
      </c>
      <c r="B1156" s="13">
        <v>268831</v>
      </c>
      <c r="C1156" s="14">
        <v>44781</v>
      </c>
      <c r="D1156" s="15">
        <v>704</v>
      </c>
      <c r="E1156" t="str">
        <f t="shared" si="18"/>
        <v>1205-268831-44781</v>
      </c>
    </row>
    <row r="1157" spans="1:5" ht="14.25" customHeight="1">
      <c r="A1157" s="13">
        <v>1205</v>
      </c>
      <c r="B1157" s="13">
        <v>268831</v>
      </c>
      <c r="C1157" s="14">
        <v>44788</v>
      </c>
      <c r="D1157" s="15">
        <v>348</v>
      </c>
      <c r="E1157" t="str">
        <f t="shared" si="18"/>
        <v>1205-268831-44788</v>
      </c>
    </row>
    <row r="1158" spans="1:5" ht="14.25" customHeight="1">
      <c r="A1158" s="13">
        <v>1205</v>
      </c>
      <c r="B1158" s="13">
        <v>273701</v>
      </c>
      <c r="C1158" s="14">
        <v>44739</v>
      </c>
      <c r="D1158" s="15">
        <v>816</v>
      </c>
      <c r="E1158" t="str">
        <f t="shared" si="18"/>
        <v>1205-273701-44739</v>
      </c>
    </row>
    <row r="1159" spans="1:5" ht="14.25" customHeight="1">
      <c r="A1159" s="13">
        <v>1205</v>
      </c>
      <c r="B1159" s="13">
        <v>273701</v>
      </c>
      <c r="C1159" s="14">
        <v>44746</v>
      </c>
      <c r="D1159" s="15">
        <v>942</v>
      </c>
      <c r="E1159" t="str">
        <f t="shared" si="18"/>
        <v>1205-273701-44746</v>
      </c>
    </row>
    <row r="1160" spans="1:5" ht="14.25" customHeight="1">
      <c r="A1160" s="13">
        <v>1205</v>
      </c>
      <c r="B1160" s="13">
        <v>273701</v>
      </c>
      <c r="C1160" s="14">
        <v>44753</v>
      </c>
      <c r="D1160" s="15">
        <v>855</v>
      </c>
      <c r="E1160" t="str">
        <f t="shared" si="18"/>
        <v>1205-273701-44753</v>
      </c>
    </row>
    <row r="1161" spans="1:5" ht="14.25" customHeight="1">
      <c r="A1161" s="13">
        <v>1205</v>
      </c>
      <c r="B1161" s="13">
        <v>273701</v>
      </c>
      <c r="C1161" s="14">
        <v>44760</v>
      </c>
      <c r="D1161" s="15">
        <v>650</v>
      </c>
      <c r="E1161" t="str">
        <f t="shared" si="18"/>
        <v>1205-273701-44760</v>
      </c>
    </row>
    <row r="1162" spans="1:5" ht="14.25" customHeight="1">
      <c r="A1162" s="13">
        <v>1205</v>
      </c>
      <c r="B1162" s="13">
        <v>273701</v>
      </c>
      <c r="C1162" s="14">
        <v>44767</v>
      </c>
      <c r="D1162" s="15">
        <v>544</v>
      </c>
      <c r="E1162" t="str">
        <f t="shared" si="18"/>
        <v>1205-273701-44767</v>
      </c>
    </row>
    <row r="1163" spans="1:5" ht="14.25" customHeight="1">
      <c r="A1163" s="13">
        <v>1205</v>
      </c>
      <c r="B1163" s="13">
        <v>273701</v>
      </c>
      <c r="C1163" s="14">
        <v>44774</v>
      </c>
      <c r="D1163" s="15">
        <v>775</v>
      </c>
      <c r="E1163" t="str">
        <f t="shared" si="18"/>
        <v>1205-273701-44774</v>
      </c>
    </row>
    <row r="1164" spans="1:5" ht="14.25" customHeight="1">
      <c r="A1164" s="13">
        <v>1205</v>
      </c>
      <c r="B1164" s="13">
        <v>273701</v>
      </c>
      <c r="C1164" s="14">
        <v>44781</v>
      </c>
      <c r="D1164" s="15">
        <v>538</v>
      </c>
      <c r="E1164" t="str">
        <f t="shared" si="18"/>
        <v>1205-273701-44781</v>
      </c>
    </row>
    <row r="1165" spans="1:5" ht="14.25" customHeight="1">
      <c r="A1165" s="13">
        <v>1205</v>
      </c>
      <c r="B1165" s="13">
        <v>273701</v>
      </c>
      <c r="C1165" s="14">
        <v>44788</v>
      </c>
      <c r="D1165" s="15">
        <v>750</v>
      </c>
      <c r="E1165" t="str">
        <f t="shared" si="18"/>
        <v>1205-273701-44788</v>
      </c>
    </row>
    <row r="1166" spans="1:5" ht="14.25" customHeight="1">
      <c r="A1166" s="13">
        <v>1205</v>
      </c>
      <c r="B1166" s="13">
        <v>291726</v>
      </c>
      <c r="C1166" s="14">
        <v>44739</v>
      </c>
      <c r="D1166" s="15">
        <v>37</v>
      </c>
      <c r="E1166" t="str">
        <f t="shared" si="18"/>
        <v>1205-291726-44739</v>
      </c>
    </row>
    <row r="1167" spans="1:5" ht="14.25" customHeight="1">
      <c r="A1167" s="13">
        <v>1205</v>
      </c>
      <c r="B1167" s="13">
        <v>291726</v>
      </c>
      <c r="C1167" s="14">
        <v>44746</v>
      </c>
      <c r="D1167" s="15">
        <v>24</v>
      </c>
      <c r="E1167" t="str">
        <f t="shared" si="18"/>
        <v>1205-291726-44746</v>
      </c>
    </row>
    <row r="1168" spans="1:5" ht="14.25" customHeight="1">
      <c r="A1168" s="13">
        <v>1205</v>
      </c>
      <c r="B1168" s="13">
        <v>291726</v>
      </c>
      <c r="C1168" s="14">
        <v>44753</v>
      </c>
      <c r="D1168" s="15">
        <v>11</v>
      </c>
      <c r="E1168" t="str">
        <f t="shared" si="18"/>
        <v>1205-291726-44753</v>
      </c>
    </row>
    <row r="1169" spans="1:5" ht="14.25" customHeight="1">
      <c r="A1169" s="13">
        <v>1205</v>
      </c>
      <c r="B1169" s="13">
        <v>291726</v>
      </c>
      <c r="C1169" s="14">
        <v>44760</v>
      </c>
      <c r="D1169" s="15">
        <v>31</v>
      </c>
      <c r="E1169" t="str">
        <f t="shared" si="18"/>
        <v>1205-291726-44760</v>
      </c>
    </row>
    <row r="1170" spans="1:5" ht="14.25" customHeight="1">
      <c r="A1170" s="13">
        <v>1205</v>
      </c>
      <c r="B1170" s="13">
        <v>291726</v>
      </c>
      <c r="C1170" s="14">
        <v>44767</v>
      </c>
      <c r="D1170" s="15">
        <v>7</v>
      </c>
      <c r="E1170" t="str">
        <f t="shared" si="18"/>
        <v>1205-291726-44767</v>
      </c>
    </row>
    <row r="1171" spans="1:5" ht="14.25" customHeight="1">
      <c r="A1171" s="13">
        <v>1205</v>
      </c>
      <c r="B1171" s="13">
        <v>291726</v>
      </c>
      <c r="C1171" s="14">
        <v>44774</v>
      </c>
      <c r="D1171" s="15">
        <v>33</v>
      </c>
      <c r="E1171" t="str">
        <f t="shared" si="18"/>
        <v>1205-291726-44774</v>
      </c>
    </row>
    <row r="1172" spans="1:5" ht="14.25" customHeight="1">
      <c r="A1172" s="13">
        <v>1205</v>
      </c>
      <c r="B1172" s="13">
        <v>291726</v>
      </c>
      <c r="C1172" s="14">
        <v>44781</v>
      </c>
      <c r="D1172" s="15">
        <v>22</v>
      </c>
      <c r="E1172" t="str">
        <f t="shared" si="18"/>
        <v>1205-291726-44781</v>
      </c>
    </row>
    <row r="1173" spans="1:5" ht="14.25" customHeight="1">
      <c r="A1173" s="13">
        <v>1205</v>
      </c>
      <c r="B1173" s="13">
        <v>291726</v>
      </c>
      <c r="C1173" s="14">
        <v>44788</v>
      </c>
      <c r="D1173" s="15">
        <v>35</v>
      </c>
      <c r="E1173" t="str">
        <f t="shared" si="18"/>
        <v>1205-291726-44788</v>
      </c>
    </row>
    <row r="1174" spans="1:5" ht="14.25" customHeight="1">
      <c r="A1174" s="13">
        <v>1205</v>
      </c>
      <c r="B1174" s="13">
        <v>291728</v>
      </c>
      <c r="C1174" s="14">
        <v>44739</v>
      </c>
      <c r="D1174" s="15">
        <v>58</v>
      </c>
      <c r="E1174" t="str">
        <f t="shared" si="18"/>
        <v>1205-291728-44739</v>
      </c>
    </row>
    <row r="1175" spans="1:5" ht="14.25" customHeight="1">
      <c r="A1175" s="13">
        <v>1205</v>
      </c>
      <c r="B1175" s="13">
        <v>291728</v>
      </c>
      <c r="C1175" s="14">
        <v>44746</v>
      </c>
      <c r="D1175" s="15">
        <v>42</v>
      </c>
      <c r="E1175" t="str">
        <f t="shared" si="18"/>
        <v>1205-291728-44746</v>
      </c>
    </row>
    <row r="1176" spans="1:5" ht="14.25" customHeight="1">
      <c r="A1176" s="13">
        <v>1205</v>
      </c>
      <c r="B1176" s="13">
        <v>291728</v>
      </c>
      <c r="C1176" s="14">
        <v>44753</v>
      </c>
      <c r="D1176" s="15">
        <v>61</v>
      </c>
      <c r="E1176" t="str">
        <f t="shared" si="18"/>
        <v>1205-291728-44753</v>
      </c>
    </row>
    <row r="1177" spans="1:5" ht="14.25" customHeight="1">
      <c r="A1177" s="13">
        <v>1205</v>
      </c>
      <c r="B1177" s="13">
        <v>291728</v>
      </c>
      <c r="C1177" s="14">
        <v>44760</v>
      </c>
      <c r="D1177" s="15">
        <v>11</v>
      </c>
      <c r="E1177" t="str">
        <f t="shared" si="18"/>
        <v>1205-291728-44760</v>
      </c>
    </row>
    <row r="1178" spans="1:5" ht="14.25" customHeight="1">
      <c r="A1178" s="13">
        <v>1205</v>
      </c>
      <c r="B1178" s="13">
        <v>291728</v>
      </c>
      <c r="C1178" s="14">
        <v>44767</v>
      </c>
      <c r="D1178" s="15">
        <v>46</v>
      </c>
      <c r="E1178" t="str">
        <f t="shared" si="18"/>
        <v>1205-291728-44767</v>
      </c>
    </row>
    <row r="1179" spans="1:5" ht="14.25" customHeight="1">
      <c r="A1179" s="13">
        <v>1205</v>
      </c>
      <c r="B1179" s="13">
        <v>291728</v>
      </c>
      <c r="C1179" s="14">
        <v>44774</v>
      </c>
      <c r="D1179" s="15">
        <v>47</v>
      </c>
      <c r="E1179" t="str">
        <f t="shared" si="18"/>
        <v>1205-291728-44774</v>
      </c>
    </row>
    <row r="1180" spans="1:5" ht="14.25" customHeight="1">
      <c r="A1180" s="13">
        <v>1205</v>
      </c>
      <c r="B1180" s="13">
        <v>291728</v>
      </c>
      <c r="C1180" s="14">
        <v>44781</v>
      </c>
      <c r="D1180" s="15">
        <v>11</v>
      </c>
      <c r="E1180" t="str">
        <f t="shared" si="18"/>
        <v>1205-291728-44781</v>
      </c>
    </row>
    <row r="1181" spans="1:5" ht="14.25" customHeight="1">
      <c r="A1181" s="13">
        <v>1205</v>
      </c>
      <c r="B1181" s="13">
        <v>291728</v>
      </c>
      <c r="C1181" s="14">
        <v>44788</v>
      </c>
      <c r="D1181" s="15">
        <v>44</v>
      </c>
      <c r="E1181" t="str">
        <f t="shared" si="18"/>
        <v>1205-291728-44788</v>
      </c>
    </row>
    <row r="1182" spans="1:5" ht="14.25" customHeight="1">
      <c r="A1182" s="13">
        <v>1205</v>
      </c>
      <c r="B1182" s="13">
        <v>300380</v>
      </c>
      <c r="C1182" s="14">
        <v>44739</v>
      </c>
      <c r="D1182" s="15">
        <v>36</v>
      </c>
      <c r="E1182" t="str">
        <f t="shared" si="18"/>
        <v>1205-300380-44739</v>
      </c>
    </row>
    <row r="1183" spans="1:5" ht="14.25" customHeight="1">
      <c r="A1183" s="13">
        <v>1205</v>
      </c>
      <c r="B1183" s="13">
        <v>300380</v>
      </c>
      <c r="C1183" s="14">
        <v>44746</v>
      </c>
      <c r="D1183" s="15">
        <v>33</v>
      </c>
      <c r="E1183" t="str">
        <f t="shared" si="18"/>
        <v>1205-300380-44746</v>
      </c>
    </row>
    <row r="1184" spans="1:5" ht="14.25" customHeight="1">
      <c r="A1184" s="13">
        <v>1205</v>
      </c>
      <c r="B1184" s="13">
        <v>300380</v>
      </c>
      <c r="C1184" s="14">
        <v>44753</v>
      </c>
      <c r="D1184" s="15">
        <v>40</v>
      </c>
      <c r="E1184" t="str">
        <f t="shared" si="18"/>
        <v>1205-300380-44753</v>
      </c>
    </row>
    <row r="1185" spans="1:5" ht="14.25" customHeight="1">
      <c r="A1185" s="13">
        <v>1205</v>
      </c>
      <c r="B1185" s="13">
        <v>300380</v>
      </c>
      <c r="C1185" s="14">
        <v>44760</v>
      </c>
      <c r="D1185" s="15">
        <v>43</v>
      </c>
      <c r="E1185" t="str">
        <f t="shared" si="18"/>
        <v>1205-300380-44760</v>
      </c>
    </row>
    <row r="1186" spans="1:5" ht="14.25" customHeight="1">
      <c r="A1186" s="13">
        <v>1205</v>
      </c>
      <c r="B1186" s="13">
        <v>300380</v>
      </c>
      <c r="C1186" s="14">
        <v>44767</v>
      </c>
      <c r="D1186" s="15">
        <v>36</v>
      </c>
      <c r="E1186" t="str">
        <f t="shared" si="18"/>
        <v>1205-300380-44767</v>
      </c>
    </row>
    <row r="1187" spans="1:5" ht="14.25" customHeight="1">
      <c r="A1187" s="13">
        <v>1205</v>
      </c>
      <c r="B1187" s="13">
        <v>300380</v>
      </c>
      <c r="C1187" s="14">
        <v>44774</v>
      </c>
      <c r="D1187" s="15">
        <v>28</v>
      </c>
      <c r="E1187" t="str">
        <f t="shared" si="18"/>
        <v>1205-300380-44774</v>
      </c>
    </row>
    <row r="1188" spans="1:5" ht="14.25" customHeight="1">
      <c r="A1188" s="13">
        <v>1205</v>
      </c>
      <c r="B1188" s="13">
        <v>300380</v>
      </c>
      <c r="C1188" s="14">
        <v>44781</v>
      </c>
      <c r="D1188" s="15">
        <v>37</v>
      </c>
      <c r="E1188" t="str">
        <f t="shared" si="18"/>
        <v>1205-300380-44781</v>
      </c>
    </row>
    <row r="1189" spans="1:5" ht="14.25" customHeight="1">
      <c r="A1189" s="13">
        <v>1205</v>
      </c>
      <c r="B1189" s="13">
        <v>300380</v>
      </c>
      <c r="C1189" s="14">
        <v>44788</v>
      </c>
      <c r="D1189" s="15">
        <v>23</v>
      </c>
      <c r="E1189" t="str">
        <f t="shared" si="18"/>
        <v>1205-300380-44788</v>
      </c>
    </row>
    <row r="1190" spans="1:5" ht="14.25" customHeight="1">
      <c r="A1190" s="13">
        <v>1205</v>
      </c>
      <c r="B1190" s="13">
        <v>571521</v>
      </c>
      <c r="C1190" s="14">
        <v>44739</v>
      </c>
      <c r="D1190" s="15">
        <v>182</v>
      </c>
      <c r="E1190" t="str">
        <f t="shared" si="18"/>
        <v>1205-571521-44739</v>
      </c>
    </row>
    <row r="1191" spans="1:5" ht="14.25" customHeight="1">
      <c r="A1191" s="13">
        <v>1205</v>
      </c>
      <c r="B1191" s="13">
        <v>571521</v>
      </c>
      <c r="C1191" s="14">
        <v>44746</v>
      </c>
      <c r="D1191" s="15">
        <v>98</v>
      </c>
      <c r="E1191" t="str">
        <f t="shared" si="18"/>
        <v>1205-571521-44746</v>
      </c>
    </row>
    <row r="1192" spans="1:5" ht="14.25" customHeight="1">
      <c r="A1192" s="13">
        <v>1205</v>
      </c>
      <c r="B1192" s="13">
        <v>571521</v>
      </c>
      <c r="C1192" s="14">
        <v>44753</v>
      </c>
      <c r="D1192" s="15">
        <v>102</v>
      </c>
      <c r="E1192" t="str">
        <f t="shared" si="18"/>
        <v>1205-571521-44753</v>
      </c>
    </row>
    <row r="1193" spans="1:5" ht="14.25" customHeight="1">
      <c r="A1193" s="13">
        <v>1205</v>
      </c>
      <c r="B1193" s="13">
        <v>571521</v>
      </c>
      <c r="C1193" s="14">
        <v>44760</v>
      </c>
      <c r="D1193" s="15">
        <v>221</v>
      </c>
      <c r="E1193" t="str">
        <f t="shared" si="18"/>
        <v>1205-571521-44760</v>
      </c>
    </row>
    <row r="1194" spans="1:5" ht="14.25" customHeight="1">
      <c r="A1194" s="13">
        <v>1205</v>
      </c>
      <c r="B1194" s="13">
        <v>571521</v>
      </c>
      <c r="C1194" s="14">
        <v>44767</v>
      </c>
      <c r="D1194" s="15">
        <v>99</v>
      </c>
      <c r="E1194" t="str">
        <f t="shared" si="18"/>
        <v>1205-571521-44767</v>
      </c>
    </row>
    <row r="1195" spans="1:5" ht="14.25" customHeight="1">
      <c r="A1195" s="13">
        <v>1205</v>
      </c>
      <c r="B1195" s="13">
        <v>571521</v>
      </c>
      <c r="C1195" s="14">
        <v>44774</v>
      </c>
      <c r="D1195" s="15">
        <v>339</v>
      </c>
      <c r="E1195" t="str">
        <f t="shared" si="18"/>
        <v>1205-571521-44774</v>
      </c>
    </row>
    <row r="1196" spans="1:5" ht="14.25" customHeight="1">
      <c r="A1196" s="13">
        <v>1205</v>
      </c>
      <c r="B1196" s="13">
        <v>571521</v>
      </c>
      <c r="C1196" s="14">
        <v>44781</v>
      </c>
      <c r="D1196" s="15">
        <v>281</v>
      </c>
      <c r="E1196" t="str">
        <f t="shared" si="18"/>
        <v>1205-571521-44781</v>
      </c>
    </row>
    <row r="1197" spans="1:5" ht="14.25" customHeight="1">
      <c r="A1197" s="13">
        <v>1205</v>
      </c>
      <c r="B1197" s="13">
        <v>571521</v>
      </c>
      <c r="C1197" s="14">
        <v>44788</v>
      </c>
      <c r="D1197" s="15">
        <v>98</v>
      </c>
      <c r="E1197" t="str">
        <f t="shared" si="18"/>
        <v>1205-571521-44788</v>
      </c>
    </row>
    <row r="1198" spans="1:5" ht="14.25" customHeight="1">
      <c r="A1198" s="13">
        <v>1205</v>
      </c>
      <c r="B1198" s="13">
        <v>614993</v>
      </c>
      <c r="C1198" s="14">
        <v>44739</v>
      </c>
      <c r="D1198" s="15">
        <v>87</v>
      </c>
      <c r="E1198" t="str">
        <f t="shared" si="18"/>
        <v>1205-614993-44739</v>
      </c>
    </row>
    <row r="1199" spans="1:5" ht="14.25" customHeight="1">
      <c r="A1199" s="13">
        <v>1205</v>
      </c>
      <c r="B1199" s="13">
        <v>614993</v>
      </c>
      <c r="C1199" s="14">
        <v>44746</v>
      </c>
      <c r="D1199" s="15">
        <v>35</v>
      </c>
      <c r="E1199" t="str">
        <f t="shared" si="18"/>
        <v>1205-614993-44746</v>
      </c>
    </row>
    <row r="1200" spans="1:5" ht="14.25" customHeight="1">
      <c r="A1200" s="13">
        <v>1205</v>
      </c>
      <c r="B1200" s="13">
        <v>614993</v>
      </c>
      <c r="C1200" s="14">
        <v>44753</v>
      </c>
      <c r="D1200" s="15">
        <v>92</v>
      </c>
      <c r="E1200" t="str">
        <f t="shared" si="18"/>
        <v>1205-614993-44753</v>
      </c>
    </row>
    <row r="1201" spans="1:5" ht="14.25" customHeight="1">
      <c r="A1201" s="13">
        <v>1205</v>
      </c>
      <c r="B1201" s="13">
        <v>614993</v>
      </c>
      <c r="C1201" s="14">
        <v>44760</v>
      </c>
      <c r="D1201" s="15">
        <v>78</v>
      </c>
      <c r="E1201" t="str">
        <f t="shared" si="18"/>
        <v>1205-614993-44760</v>
      </c>
    </row>
    <row r="1202" spans="1:5" ht="14.25" customHeight="1">
      <c r="A1202" s="13">
        <v>1205</v>
      </c>
      <c r="B1202" s="13">
        <v>614993</v>
      </c>
      <c r="C1202" s="14">
        <v>44767</v>
      </c>
      <c r="D1202" s="15">
        <v>39</v>
      </c>
      <c r="E1202" t="str">
        <f t="shared" si="18"/>
        <v>1205-614993-44767</v>
      </c>
    </row>
    <row r="1203" spans="1:5" ht="14.25" customHeight="1">
      <c r="A1203" s="13">
        <v>1205</v>
      </c>
      <c r="B1203" s="13">
        <v>614993</v>
      </c>
      <c r="C1203" s="14">
        <v>44774</v>
      </c>
      <c r="D1203" s="15">
        <v>73</v>
      </c>
      <c r="E1203" t="str">
        <f t="shared" si="18"/>
        <v>1205-614993-44774</v>
      </c>
    </row>
    <row r="1204" spans="1:5" ht="14.25" customHeight="1">
      <c r="A1204" s="13">
        <v>1205</v>
      </c>
      <c r="B1204" s="13">
        <v>614993</v>
      </c>
      <c r="C1204" s="14">
        <v>44781</v>
      </c>
      <c r="D1204" s="15">
        <v>37</v>
      </c>
      <c r="E1204" t="str">
        <f t="shared" si="18"/>
        <v>1205-614993-44781</v>
      </c>
    </row>
    <row r="1205" spans="1:5" ht="14.25" customHeight="1">
      <c r="A1205" s="13">
        <v>1205</v>
      </c>
      <c r="B1205" s="13">
        <v>614993</v>
      </c>
      <c r="C1205" s="14">
        <v>44788</v>
      </c>
      <c r="D1205" s="15">
        <v>79</v>
      </c>
      <c r="E1205" t="str">
        <f t="shared" si="18"/>
        <v>1205-614993-44788</v>
      </c>
    </row>
    <row r="1206" spans="1:5" ht="14.25" customHeight="1">
      <c r="A1206" s="13">
        <v>1206</v>
      </c>
      <c r="B1206" s="13">
        <v>23393</v>
      </c>
      <c r="C1206" s="14">
        <v>32874</v>
      </c>
      <c r="D1206" s="15">
        <v>155</v>
      </c>
      <c r="E1206" t="str">
        <f t="shared" si="18"/>
        <v>1206-23393-32874</v>
      </c>
    </row>
    <row r="1207" spans="1:5" ht="14.25" customHeight="1">
      <c r="A1207" s="16">
        <v>1206</v>
      </c>
      <c r="B1207" s="13">
        <v>23393</v>
      </c>
      <c r="C1207" s="14">
        <v>44739</v>
      </c>
      <c r="D1207" s="15">
        <v>380</v>
      </c>
      <c r="E1207" t="str">
        <f t="shared" si="18"/>
        <v>1206-23393-44739</v>
      </c>
    </row>
    <row r="1208" spans="1:5" ht="14.25" customHeight="1">
      <c r="A1208" s="13">
        <v>1206</v>
      </c>
      <c r="B1208" s="13">
        <v>23393</v>
      </c>
      <c r="C1208" s="14">
        <v>44746</v>
      </c>
      <c r="D1208" s="15">
        <v>152</v>
      </c>
      <c r="E1208" t="str">
        <f t="shared" si="18"/>
        <v>1206-23393-44746</v>
      </c>
    </row>
    <row r="1209" spans="1:5" ht="14.25" customHeight="1">
      <c r="A1209" s="13">
        <v>1206</v>
      </c>
      <c r="B1209" s="13">
        <v>23393</v>
      </c>
      <c r="C1209" s="14">
        <v>44753</v>
      </c>
      <c r="D1209" s="15">
        <v>152</v>
      </c>
      <c r="E1209" t="str">
        <f t="shared" si="18"/>
        <v>1206-23393-44753</v>
      </c>
    </row>
    <row r="1210" spans="1:5" ht="14.25" customHeight="1">
      <c r="A1210" s="13">
        <v>1206</v>
      </c>
      <c r="B1210" s="13">
        <v>23393</v>
      </c>
      <c r="C1210" s="14">
        <v>44760</v>
      </c>
      <c r="D1210" s="15">
        <v>396</v>
      </c>
      <c r="E1210" t="str">
        <f t="shared" si="18"/>
        <v>1206-23393-44760</v>
      </c>
    </row>
    <row r="1211" spans="1:5" ht="14.25" customHeight="1">
      <c r="A1211" s="13">
        <v>1206</v>
      </c>
      <c r="B1211" s="13">
        <v>23393</v>
      </c>
      <c r="C1211" s="14">
        <v>44767</v>
      </c>
      <c r="D1211" s="15">
        <v>475</v>
      </c>
      <c r="E1211" t="str">
        <f t="shared" si="18"/>
        <v>1206-23393-44767</v>
      </c>
    </row>
    <row r="1212" spans="1:5" ht="14.25" customHeight="1">
      <c r="A1212" s="13">
        <v>1206</v>
      </c>
      <c r="B1212" s="13">
        <v>23393</v>
      </c>
      <c r="C1212" s="14">
        <v>44774</v>
      </c>
      <c r="D1212" s="15">
        <v>156</v>
      </c>
      <c r="E1212" t="str">
        <f t="shared" si="18"/>
        <v>1206-23393-44774</v>
      </c>
    </row>
    <row r="1213" spans="1:5" ht="14.25" customHeight="1">
      <c r="A1213" s="13">
        <v>1206</v>
      </c>
      <c r="B1213" s="13">
        <v>23393</v>
      </c>
      <c r="C1213" s="14">
        <v>44781</v>
      </c>
      <c r="D1213" s="15">
        <v>149</v>
      </c>
      <c r="E1213" t="str">
        <f t="shared" si="18"/>
        <v>1206-23393-44781</v>
      </c>
    </row>
    <row r="1214" spans="1:5" ht="14.25" customHeight="1">
      <c r="A1214" s="13">
        <v>1206</v>
      </c>
      <c r="B1214" s="13">
        <v>23393</v>
      </c>
      <c r="C1214" s="14">
        <v>44788</v>
      </c>
      <c r="D1214" s="15">
        <v>634</v>
      </c>
      <c r="E1214" t="str">
        <f t="shared" si="18"/>
        <v>1206-23393-44788</v>
      </c>
    </row>
    <row r="1215" spans="1:5" ht="14.25" customHeight="1">
      <c r="A1215" s="13">
        <v>1206</v>
      </c>
      <c r="B1215" s="13">
        <v>26764</v>
      </c>
      <c r="C1215" s="14">
        <v>44739</v>
      </c>
      <c r="D1215" s="15">
        <v>193</v>
      </c>
      <c r="E1215" t="str">
        <f t="shared" si="18"/>
        <v>1206-26764-44739</v>
      </c>
    </row>
    <row r="1216" spans="1:5" ht="14.25" customHeight="1">
      <c r="A1216" s="13">
        <v>1206</v>
      </c>
      <c r="B1216" s="13">
        <v>26764</v>
      </c>
      <c r="C1216" s="14">
        <v>44746</v>
      </c>
      <c r="D1216" s="15">
        <v>243</v>
      </c>
      <c r="E1216" t="str">
        <f t="shared" si="18"/>
        <v>1206-26764-44746</v>
      </c>
    </row>
    <row r="1217" spans="1:5" ht="14.25" customHeight="1">
      <c r="A1217" s="13">
        <v>1206</v>
      </c>
      <c r="B1217" s="13">
        <v>26764</v>
      </c>
      <c r="C1217" s="14">
        <v>44753</v>
      </c>
      <c r="D1217" s="15">
        <v>198</v>
      </c>
      <c r="E1217" t="str">
        <f t="shared" si="18"/>
        <v>1206-26764-44753</v>
      </c>
    </row>
    <row r="1218" spans="1:5" ht="14.25" customHeight="1">
      <c r="A1218" s="13">
        <v>1206</v>
      </c>
      <c r="B1218" s="13">
        <v>26764</v>
      </c>
      <c r="C1218" s="14">
        <v>44760</v>
      </c>
      <c r="D1218" s="15">
        <v>115</v>
      </c>
      <c r="E1218" t="str">
        <f t="shared" si="18"/>
        <v>1206-26764-44760</v>
      </c>
    </row>
    <row r="1219" spans="1:5" ht="14.25" customHeight="1">
      <c r="A1219" s="13">
        <v>1206</v>
      </c>
      <c r="B1219" s="13">
        <v>26764</v>
      </c>
      <c r="C1219" s="14">
        <v>44767</v>
      </c>
      <c r="D1219" s="15">
        <v>218</v>
      </c>
      <c r="E1219" t="str">
        <f t="shared" ref="E1219:E1282" si="19">A1219&amp;"-"&amp;B1219&amp;"-"&amp;INT(C1219)</f>
        <v>1206-26764-44767</v>
      </c>
    </row>
    <row r="1220" spans="1:5" ht="14.25" customHeight="1">
      <c r="A1220" s="13">
        <v>1206</v>
      </c>
      <c r="B1220" s="13">
        <v>26764</v>
      </c>
      <c r="C1220" s="14">
        <v>44774</v>
      </c>
      <c r="D1220" s="15">
        <v>185</v>
      </c>
      <c r="E1220" t="str">
        <f t="shared" si="19"/>
        <v>1206-26764-44774</v>
      </c>
    </row>
    <row r="1221" spans="1:5" ht="14.25" customHeight="1">
      <c r="A1221" s="13">
        <v>1206</v>
      </c>
      <c r="B1221" s="13">
        <v>26764</v>
      </c>
      <c r="C1221" s="14">
        <v>44781</v>
      </c>
      <c r="D1221" s="15">
        <v>217</v>
      </c>
      <c r="E1221" t="str">
        <f t="shared" si="19"/>
        <v>1206-26764-44781</v>
      </c>
    </row>
    <row r="1222" spans="1:5" ht="14.25" customHeight="1">
      <c r="A1222" s="13">
        <v>1206</v>
      </c>
      <c r="B1222" s="13">
        <v>26764</v>
      </c>
      <c r="C1222" s="14">
        <v>44788</v>
      </c>
      <c r="D1222" s="15">
        <v>248</v>
      </c>
      <c r="E1222" t="str">
        <f t="shared" si="19"/>
        <v>1206-26764-44788</v>
      </c>
    </row>
    <row r="1223" spans="1:5" ht="14.25" customHeight="1">
      <c r="A1223" s="13">
        <v>1206</v>
      </c>
      <c r="B1223" s="13">
        <v>53934</v>
      </c>
      <c r="C1223" s="14">
        <v>44739</v>
      </c>
      <c r="D1223" s="15">
        <v>355</v>
      </c>
      <c r="E1223" t="str">
        <f t="shared" si="19"/>
        <v>1206-53934-44739</v>
      </c>
    </row>
    <row r="1224" spans="1:5" ht="14.25" customHeight="1">
      <c r="A1224" s="13">
        <v>1206</v>
      </c>
      <c r="B1224" s="13">
        <v>53934</v>
      </c>
      <c r="C1224" s="14">
        <v>44746</v>
      </c>
      <c r="D1224" s="15">
        <v>100</v>
      </c>
      <c r="E1224" t="str">
        <f t="shared" si="19"/>
        <v>1206-53934-44746</v>
      </c>
    </row>
    <row r="1225" spans="1:5" ht="14.25" customHeight="1">
      <c r="A1225" s="13">
        <v>1206</v>
      </c>
      <c r="B1225" s="13">
        <v>53934</v>
      </c>
      <c r="C1225" s="14">
        <v>44753</v>
      </c>
      <c r="D1225" s="15">
        <v>283</v>
      </c>
      <c r="E1225" t="str">
        <f t="shared" si="19"/>
        <v>1206-53934-44753</v>
      </c>
    </row>
    <row r="1226" spans="1:5" ht="14.25" customHeight="1">
      <c r="A1226" s="13">
        <v>1206</v>
      </c>
      <c r="B1226" s="13">
        <v>53934</v>
      </c>
      <c r="C1226" s="14">
        <v>44760</v>
      </c>
      <c r="D1226" s="15">
        <v>374</v>
      </c>
      <c r="E1226" t="str">
        <f t="shared" si="19"/>
        <v>1206-53934-44760</v>
      </c>
    </row>
    <row r="1227" spans="1:5" ht="14.25" customHeight="1">
      <c r="A1227" s="13">
        <v>1206</v>
      </c>
      <c r="B1227" s="13">
        <v>53934</v>
      </c>
      <c r="C1227" s="14">
        <v>44767</v>
      </c>
      <c r="D1227" s="15">
        <v>98</v>
      </c>
      <c r="E1227" t="str">
        <f t="shared" si="19"/>
        <v>1206-53934-44767</v>
      </c>
    </row>
    <row r="1228" spans="1:5" ht="14.25" customHeight="1">
      <c r="A1228" s="13">
        <v>1206</v>
      </c>
      <c r="B1228" s="13">
        <v>53934</v>
      </c>
      <c r="C1228" s="14">
        <v>44774</v>
      </c>
      <c r="D1228" s="15">
        <v>374</v>
      </c>
      <c r="E1228" t="str">
        <f t="shared" si="19"/>
        <v>1206-53934-44774</v>
      </c>
    </row>
    <row r="1229" spans="1:5" ht="14.25" customHeight="1">
      <c r="A1229" s="13">
        <v>1206</v>
      </c>
      <c r="B1229" s="13">
        <v>53934</v>
      </c>
      <c r="C1229" s="14">
        <v>44781</v>
      </c>
      <c r="D1229" s="15">
        <v>158</v>
      </c>
      <c r="E1229" t="str">
        <f t="shared" si="19"/>
        <v>1206-53934-44781</v>
      </c>
    </row>
    <row r="1230" spans="1:5" ht="14.25" customHeight="1">
      <c r="A1230" s="13">
        <v>1206</v>
      </c>
      <c r="B1230" s="13">
        <v>53934</v>
      </c>
      <c r="C1230" s="14">
        <v>44788</v>
      </c>
      <c r="D1230" s="15">
        <v>95</v>
      </c>
      <c r="E1230" t="str">
        <f t="shared" si="19"/>
        <v>1206-53934-44788</v>
      </c>
    </row>
    <row r="1231" spans="1:5" ht="14.25" customHeight="1">
      <c r="A1231" s="13">
        <v>1206</v>
      </c>
      <c r="B1231" s="13">
        <v>78699</v>
      </c>
      <c r="C1231" s="14">
        <v>44739</v>
      </c>
      <c r="D1231" s="15">
        <v>32</v>
      </c>
      <c r="E1231" t="str">
        <f t="shared" si="19"/>
        <v>1206-78699-44739</v>
      </c>
    </row>
    <row r="1232" spans="1:5" ht="14.25" customHeight="1">
      <c r="A1232" s="13">
        <v>1206</v>
      </c>
      <c r="B1232" s="13">
        <v>78699</v>
      </c>
      <c r="C1232" s="14">
        <v>44746</v>
      </c>
      <c r="D1232" s="15">
        <v>29</v>
      </c>
      <c r="E1232" t="str">
        <f t="shared" si="19"/>
        <v>1206-78699-44746</v>
      </c>
    </row>
    <row r="1233" spans="1:5" ht="14.25" customHeight="1">
      <c r="A1233" s="13">
        <v>1206</v>
      </c>
      <c r="B1233" s="13">
        <v>78699</v>
      </c>
      <c r="C1233" s="14">
        <v>44753</v>
      </c>
      <c r="D1233" s="15">
        <v>45</v>
      </c>
      <c r="E1233" t="str">
        <f t="shared" si="19"/>
        <v>1206-78699-44753</v>
      </c>
    </row>
    <row r="1234" spans="1:5" ht="14.25" customHeight="1">
      <c r="A1234" s="13">
        <v>1206</v>
      </c>
      <c r="B1234" s="13">
        <v>78699</v>
      </c>
      <c r="C1234" s="14">
        <v>44760</v>
      </c>
      <c r="D1234" s="15">
        <v>7</v>
      </c>
      <c r="E1234" t="str">
        <f t="shared" si="19"/>
        <v>1206-78699-44760</v>
      </c>
    </row>
    <row r="1235" spans="1:5" ht="14.25" customHeight="1">
      <c r="A1235" s="13">
        <v>1206</v>
      </c>
      <c r="B1235" s="13">
        <v>78699</v>
      </c>
      <c r="C1235" s="14">
        <v>44767</v>
      </c>
      <c r="D1235" s="15">
        <v>13</v>
      </c>
      <c r="E1235" t="str">
        <f t="shared" si="19"/>
        <v>1206-78699-44767</v>
      </c>
    </row>
    <row r="1236" spans="1:5" ht="14.25" customHeight="1">
      <c r="A1236" s="13">
        <v>1206</v>
      </c>
      <c r="B1236" s="13">
        <v>78699</v>
      </c>
      <c r="C1236" s="14">
        <v>44774</v>
      </c>
      <c r="D1236" s="15">
        <v>33</v>
      </c>
      <c r="E1236" t="str">
        <f t="shared" si="19"/>
        <v>1206-78699-44774</v>
      </c>
    </row>
    <row r="1237" spans="1:5" ht="14.25" customHeight="1">
      <c r="A1237" s="13">
        <v>1206</v>
      </c>
      <c r="B1237" s="13">
        <v>78699</v>
      </c>
      <c r="C1237" s="14">
        <v>44781</v>
      </c>
      <c r="D1237" s="15">
        <v>33</v>
      </c>
      <c r="E1237" t="str">
        <f t="shared" si="19"/>
        <v>1206-78699-44781</v>
      </c>
    </row>
    <row r="1238" spans="1:5" ht="14.25" customHeight="1">
      <c r="A1238" s="13">
        <v>1206</v>
      </c>
      <c r="B1238" s="13">
        <v>78699</v>
      </c>
      <c r="C1238" s="14">
        <v>44788</v>
      </c>
      <c r="D1238" s="15">
        <v>18</v>
      </c>
      <c r="E1238" t="str">
        <f t="shared" si="19"/>
        <v>1206-78699-44788</v>
      </c>
    </row>
    <row r="1239" spans="1:5" ht="14.25" customHeight="1">
      <c r="A1239" s="13">
        <v>1206</v>
      </c>
      <c r="B1239" s="13">
        <v>78869</v>
      </c>
      <c r="C1239" s="14">
        <v>44739</v>
      </c>
      <c r="D1239" s="15">
        <v>64</v>
      </c>
      <c r="E1239" t="str">
        <f t="shared" si="19"/>
        <v>1206-78869-44739</v>
      </c>
    </row>
    <row r="1240" spans="1:5" ht="14.25" customHeight="1">
      <c r="A1240" s="13">
        <v>1206</v>
      </c>
      <c r="B1240" s="13">
        <v>78869</v>
      </c>
      <c r="C1240" s="14">
        <v>44746</v>
      </c>
      <c r="D1240" s="15">
        <v>19</v>
      </c>
      <c r="E1240" t="str">
        <f t="shared" si="19"/>
        <v>1206-78869-44746</v>
      </c>
    </row>
    <row r="1241" spans="1:5" ht="14.25" customHeight="1">
      <c r="A1241" s="13">
        <v>1206</v>
      </c>
      <c r="B1241" s="13">
        <v>78869</v>
      </c>
      <c r="C1241" s="14">
        <v>44753</v>
      </c>
      <c r="D1241" s="15">
        <v>16</v>
      </c>
      <c r="E1241" t="str">
        <f t="shared" si="19"/>
        <v>1206-78869-44753</v>
      </c>
    </row>
    <row r="1242" spans="1:5" ht="14.25" customHeight="1">
      <c r="A1242" s="13">
        <v>1206</v>
      </c>
      <c r="B1242" s="13">
        <v>78869</v>
      </c>
      <c r="C1242" s="14">
        <v>44760</v>
      </c>
      <c r="D1242" s="15">
        <v>52</v>
      </c>
      <c r="E1242" t="str">
        <f t="shared" si="19"/>
        <v>1206-78869-44760</v>
      </c>
    </row>
    <row r="1243" spans="1:5" ht="14.25" customHeight="1">
      <c r="A1243" s="13">
        <v>1206</v>
      </c>
      <c r="B1243" s="13">
        <v>78869</v>
      </c>
      <c r="C1243" s="14">
        <v>44767</v>
      </c>
      <c r="D1243" s="15">
        <v>27</v>
      </c>
      <c r="E1243" t="str">
        <f t="shared" si="19"/>
        <v>1206-78869-44767</v>
      </c>
    </row>
    <row r="1244" spans="1:5" ht="14.25" customHeight="1">
      <c r="A1244" s="13">
        <v>1206</v>
      </c>
      <c r="B1244" s="13">
        <v>78869</v>
      </c>
      <c r="C1244" s="14">
        <v>44774</v>
      </c>
      <c r="D1244" s="15">
        <v>58</v>
      </c>
      <c r="E1244" t="str">
        <f t="shared" si="19"/>
        <v>1206-78869-44774</v>
      </c>
    </row>
    <row r="1245" spans="1:5" ht="14.25" customHeight="1">
      <c r="A1245" s="13">
        <v>1206</v>
      </c>
      <c r="B1245" s="13">
        <v>78869</v>
      </c>
      <c r="C1245" s="14">
        <v>44781</v>
      </c>
      <c r="D1245" s="15">
        <v>54</v>
      </c>
      <c r="E1245" t="str">
        <f t="shared" si="19"/>
        <v>1206-78869-44781</v>
      </c>
    </row>
    <row r="1246" spans="1:5" ht="14.25" customHeight="1">
      <c r="A1246" s="13">
        <v>1206</v>
      </c>
      <c r="B1246" s="13">
        <v>78869</v>
      </c>
      <c r="C1246" s="14">
        <v>44788</v>
      </c>
      <c r="D1246" s="15">
        <v>30</v>
      </c>
      <c r="E1246" t="str">
        <f t="shared" si="19"/>
        <v>1206-78869-44788</v>
      </c>
    </row>
    <row r="1247" spans="1:5" ht="14.25" customHeight="1">
      <c r="A1247" s="13">
        <v>1206</v>
      </c>
      <c r="B1247" s="13">
        <v>115600</v>
      </c>
      <c r="C1247" s="14">
        <v>44739</v>
      </c>
      <c r="D1247" s="15">
        <v>13</v>
      </c>
      <c r="E1247" t="str">
        <f t="shared" si="19"/>
        <v>1206-115600-44739</v>
      </c>
    </row>
    <row r="1248" spans="1:5" ht="14.25" customHeight="1">
      <c r="A1248" s="13">
        <v>1206</v>
      </c>
      <c r="B1248" s="13">
        <v>115600</v>
      </c>
      <c r="C1248" s="14">
        <v>44746</v>
      </c>
      <c r="D1248" s="15">
        <v>50</v>
      </c>
      <c r="E1248" t="str">
        <f t="shared" si="19"/>
        <v>1206-115600-44746</v>
      </c>
    </row>
    <row r="1249" spans="1:5" ht="14.25" customHeight="1">
      <c r="A1249" s="13">
        <v>1206</v>
      </c>
      <c r="B1249" s="13">
        <v>115600</v>
      </c>
      <c r="C1249" s="14">
        <v>44753</v>
      </c>
      <c r="D1249" s="15">
        <v>49</v>
      </c>
      <c r="E1249" t="str">
        <f t="shared" si="19"/>
        <v>1206-115600-44753</v>
      </c>
    </row>
    <row r="1250" spans="1:5" ht="14.25" customHeight="1">
      <c r="A1250" s="13">
        <v>1206</v>
      </c>
      <c r="B1250" s="13">
        <v>115600</v>
      </c>
      <c r="C1250" s="14">
        <v>44760</v>
      </c>
      <c r="D1250" s="15">
        <v>17</v>
      </c>
      <c r="E1250" t="str">
        <f t="shared" si="19"/>
        <v>1206-115600-44760</v>
      </c>
    </row>
    <row r="1251" spans="1:5" ht="14.25" customHeight="1">
      <c r="A1251" s="13">
        <v>1206</v>
      </c>
      <c r="B1251" s="13">
        <v>115600</v>
      </c>
      <c r="C1251" s="14">
        <v>44767</v>
      </c>
      <c r="D1251" s="15">
        <v>53</v>
      </c>
      <c r="E1251" t="str">
        <f t="shared" si="19"/>
        <v>1206-115600-44767</v>
      </c>
    </row>
    <row r="1252" spans="1:5" ht="14.25" customHeight="1">
      <c r="A1252" s="13">
        <v>1206</v>
      </c>
      <c r="B1252" s="13">
        <v>115600</v>
      </c>
      <c r="C1252" s="14">
        <v>44774</v>
      </c>
      <c r="D1252" s="15">
        <v>41</v>
      </c>
      <c r="E1252" t="str">
        <f t="shared" si="19"/>
        <v>1206-115600-44774</v>
      </c>
    </row>
    <row r="1253" spans="1:5" ht="14.25" customHeight="1">
      <c r="A1253" s="13">
        <v>1206</v>
      </c>
      <c r="B1253" s="13">
        <v>115600</v>
      </c>
      <c r="C1253" s="14">
        <v>44781</v>
      </c>
      <c r="D1253" s="15">
        <v>41</v>
      </c>
      <c r="E1253" t="str">
        <f t="shared" si="19"/>
        <v>1206-115600-44781</v>
      </c>
    </row>
    <row r="1254" spans="1:5" ht="14.25" customHeight="1">
      <c r="A1254" s="13">
        <v>1206</v>
      </c>
      <c r="B1254" s="13">
        <v>115600</v>
      </c>
      <c r="C1254" s="14">
        <v>44788</v>
      </c>
      <c r="D1254" s="15">
        <v>42</v>
      </c>
      <c r="E1254" t="str">
        <f t="shared" si="19"/>
        <v>1206-115600-44788</v>
      </c>
    </row>
    <row r="1255" spans="1:5" ht="14.25" customHeight="1">
      <c r="A1255" s="13">
        <v>1206</v>
      </c>
      <c r="B1255" s="13">
        <v>129208</v>
      </c>
      <c r="C1255" s="14">
        <v>44739</v>
      </c>
      <c r="D1255" s="15">
        <v>10</v>
      </c>
      <c r="E1255" t="str">
        <f t="shared" si="19"/>
        <v>1206-129208-44739</v>
      </c>
    </row>
    <row r="1256" spans="1:5" ht="14.25" customHeight="1">
      <c r="A1256" s="13">
        <v>1206</v>
      </c>
      <c r="B1256" s="13">
        <v>129208</v>
      </c>
      <c r="C1256" s="14">
        <v>44746</v>
      </c>
      <c r="D1256" s="15">
        <v>15</v>
      </c>
      <c r="E1256" t="str">
        <f t="shared" si="19"/>
        <v>1206-129208-44746</v>
      </c>
    </row>
    <row r="1257" spans="1:5" ht="14.25" customHeight="1">
      <c r="A1257" s="13">
        <v>1206</v>
      </c>
      <c r="B1257" s="13">
        <v>129208</v>
      </c>
      <c r="C1257" s="14">
        <v>44753</v>
      </c>
      <c r="D1257" s="15">
        <v>15</v>
      </c>
      <c r="E1257" t="str">
        <f t="shared" si="19"/>
        <v>1206-129208-44753</v>
      </c>
    </row>
    <row r="1258" spans="1:5" ht="14.25" customHeight="1">
      <c r="A1258" s="13">
        <v>1206</v>
      </c>
      <c r="B1258" s="13">
        <v>129208</v>
      </c>
      <c r="C1258" s="14">
        <v>44760</v>
      </c>
      <c r="D1258" s="15">
        <v>21</v>
      </c>
      <c r="E1258" t="str">
        <f t="shared" si="19"/>
        <v>1206-129208-44760</v>
      </c>
    </row>
    <row r="1259" spans="1:5" ht="14.25" customHeight="1">
      <c r="A1259" s="13">
        <v>1206</v>
      </c>
      <c r="B1259" s="13">
        <v>129208</v>
      </c>
      <c r="C1259" s="14">
        <v>44767</v>
      </c>
      <c r="D1259" s="15">
        <v>6</v>
      </c>
      <c r="E1259" t="str">
        <f t="shared" si="19"/>
        <v>1206-129208-44767</v>
      </c>
    </row>
    <row r="1260" spans="1:5" ht="14.25" customHeight="1">
      <c r="A1260" s="13">
        <v>1206</v>
      </c>
      <c r="B1260" s="13">
        <v>129208</v>
      </c>
      <c r="C1260" s="14">
        <v>44774</v>
      </c>
      <c r="D1260" s="15">
        <v>7</v>
      </c>
      <c r="E1260" t="str">
        <f t="shared" si="19"/>
        <v>1206-129208-44774</v>
      </c>
    </row>
    <row r="1261" spans="1:5" ht="14.25" customHeight="1">
      <c r="A1261" s="13">
        <v>1206</v>
      </c>
      <c r="B1261" s="13">
        <v>129208</v>
      </c>
      <c r="C1261" s="14">
        <v>44781</v>
      </c>
      <c r="D1261" s="15">
        <v>19</v>
      </c>
      <c r="E1261" t="str">
        <f t="shared" si="19"/>
        <v>1206-129208-44781</v>
      </c>
    </row>
    <row r="1262" spans="1:5" ht="14.25" customHeight="1">
      <c r="A1262" s="13">
        <v>1206</v>
      </c>
      <c r="B1262" s="13">
        <v>129208</v>
      </c>
      <c r="C1262" s="14">
        <v>44788</v>
      </c>
      <c r="D1262" s="15">
        <v>15</v>
      </c>
      <c r="E1262" t="str">
        <f t="shared" si="19"/>
        <v>1206-129208-44788</v>
      </c>
    </row>
    <row r="1263" spans="1:5" ht="14.25" customHeight="1">
      <c r="A1263" s="13">
        <v>1206</v>
      </c>
      <c r="B1263" s="13">
        <v>141622</v>
      </c>
      <c r="C1263" s="14">
        <v>44739</v>
      </c>
      <c r="D1263" s="15">
        <v>50</v>
      </c>
      <c r="E1263" t="str">
        <f t="shared" si="19"/>
        <v>1206-141622-44739</v>
      </c>
    </row>
    <row r="1264" spans="1:5" ht="14.25" customHeight="1">
      <c r="A1264" s="13">
        <v>1206</v>
      </c>
      <c r="B1264" s="13">
        <v>141622</v>
      </c>
      <c r="C1264" s="14">
        <v>44746</v>
      </c>
      <c r="D1264" s="15">
        <v>56</v>
      </c>
      <c r="E1264" t="str">
        <f t="shared" si="19"/>
        <v>1206-141622-44746</v>
      </c>
    </row>
    <row r="1265" spans="1:5" ht="14.25" customHeight="1">
      <c r="A1265" s="13">
        <v>1206</v>
      </c>
      <c r="B1265" s="13">
        <v>141622</v>
      </c>
      <c r="C1265" s="14">
        <v>44753</v>
      </c>
      <c r="D1265" s="15">
        <v>30</v>
      </c>
      <c r="E1265" t="str">
        <f t="shared" si="19"/>
        <v>1206-141622-44753</v>
      </c>
    </row>
    <row r="1266" spans="1:5" ht="14.25" customHeight="1">
      <c r="A1266" s="13">
        <v>1206</v>
      </c>
      <c r="B1266" s="13">
        <v>141622</v>
      </c>
      <c r="C1266" s="14">
        <v>44760</v>
      </c>
      <c r="D1266" s="15">
        <v>42</v>
      </c>
      <c r="E1266" t="str">
        <f t="shared" si="19"/>
        <v>1206-141622-44760</v>
      </c>
    </row>
    <row r="1267" spans="1:5" ht="14.25" customHeight="1">
      <c r="A1267" s="13">
        <v>1206</v>
      </c>
      <c r="B1267" s="13">
        <v>141622</v>
      </c>
      <c r="C1267" s="14">
        <v>44767</v>
      </c>
      <c r="D1267" s="15">
        <v>59</v>
      </c>
      <c r="E1267" t="str">
        <f t="shared" si="19"/>
        <v>1206-141622-44767</v>
      </c>
    </row>
    <row r="1268" spans="1:5" ht="14.25" customHeight="1">
      <c r="A1268" s="13">
        <v>1206</v>
      </c>
      <c r="B1268" s="13">
        <v>141622</v>
      </c>
      <c r="C1268" s="14">
        <v>44774</v>
      </c>
      <c r="D1268" s="15">
        <v>67</v>
      </c>
      <c r="E1268" t="str">
        <f t="shared" si="19"/>
        <v>1206-141622-44774</v>
      </c>
    </row>
    <row r="1269" spans="1:5" ht="14.25" customHeight="1">
      <c r="A1269" s="13">
        <v>1206</v>
      </c>
      <c r="B1269" s="13">
        <v>141622</v>
      </c>
      <c r="C1269" s="14">
        <v>44781</v>
      </c>
      <c r="D1269" s="15">
        <v>33</v>
      </c>
      <c r="E1269" t="str">
        <f t="shared" si="19"/>
        <v>1206-141622-44781</v>
      </c>
    </row>
    <row r="1270" spans="1:5" ht="14.25" customHeight="1">
      <c r="A1270" s="13">
        <v>1206</v>
      </c>
      <c r="B1270" s="13">
        <v>141622</v>
      </c>
      <c r="C1270" s="14">
        <v>44788</v>
      </c>
      <c r="D1270" s="15">
        <v>54</v>
      </c>
      <c r="E1270" t="str">
        <f t="shared" si="19"/>
        <v>1206-141622-44788</v>
      </c>
    </row>
    <row r="1271" spans="1:5" ht="14.25" customHeight="1">
      <c r="A1271" s="13">
        <v>1206</v>
      </c>
      <c r="B1271" s="13">
        <v>141626</v>
      </c>
      <c r="C1271" s="14">
        <v>44739</v>
      </c>
      <c r="D1271" s="15">
        <v>15</v>
      </c>
      <c r="E1271" t="str">
        <f t="shared" si="19"/>
        <v>1206-141626-44739</v>
      </c>
    </row>
    <row r="1272" spans="1:5" ht="14.25" customHeight="1">
      <c r="A1272" s="13">
        <v>1206</v>
      </c>
      <c r="B1272" s="13">
        <v>141626</v>
      </c>
      <c r="C1272" s="14">
        <v>44746</v>
      </c>
      <c r="D1272" s="15">
        <v>15</v>
      </c>
      <c r="E1272" t="str">
        <f t="shared" si="19"/>
        <v>1206-141626-44746</v>
      </c>
    </row>
    <row r="1273" spans="1:5" ht="14.25" customHeight="1">
      <c r="A1273" s="13">
        <v>1206</v>
      </c>
      <c r="B1273" s="13">
        <v>141626</v>
      </c>
      <c r="C1273" s="14">
        <v>44753</v>
      </c>
      <c r="D1273" s="15">
        <v>15</v>
      </c>
      <c r="E1273" t="str">
        <f t="shared" si="19"/>
        <v>1206-141626-44753</v>
      </c>
    </row>
    <row r="1274" spans="1:5" ht="14.25" customHeight="1">
      <c r="A1274" s="13">
        <v>1206</v>
      </c>
      <c r="B1274" s="13">
        <v>141626</v>
      </c>
      <c r="C1274" s="14">
        <v>44760</v>
      </c>
      <c r="D1274" s="15">
        <v>15</v>
      </c>
      <c r="E1274" t="str">
        <f t="shared" si="19"/>
        <v>1206-141626-44760</v>
      </c>
    </row>
    <row r="1275" spans="1:5" ht="14.25" customHeight="1">
      <c r="A1275" s="13">
        <v>1206</v>
      </c>
      <c r="B1275" s="13">
        <v>141626</v>
      </c>
      <c r="C1275" s="14">
        <v>44767</v>
      </c>
      <c r="D1275" s="15">
        <v>15</v>
      </c>
      <c r="E1275" t="str">
        <f t="shared" si="19"/>
        <v>1206-141626-44767</v>
      </c>
    </row>
    <row r="1276" spans="1:5" ht="14.25" customHeight="1">
      <c r="A1276" s="13">
        <v>1206</v>
      </c>
      <c r="B1276" s="13">
        <v>141626</v>
      </c>
      <c r="C1276" s="14">
        <v>44774</v>
      </c>
      <c r="D1276" s="15">
        <v>15</v>
      </c>
      <c r="E1276" t="str">
        <f t="shared" si="19"/>
        <v>1206-141626-44774</v>
      </c>
    </row>
    <row r="1277" spans="1:5" ht="14.25" customHeight="1">
      <c r="A1277" s="13">
        <v>1206</v>
      </c>
      <c r="B1277" s="13">
        <v>141626</v>
      </c>
      <c r="C1277" s="14">
        <v>44781</v>
      </c>
      <c r="D1277" s="15">
        <v>15</v>
      </c>
      <c r="E1277" t="str">
        <f t="shared" si="19"/>
        <v>1206-141626-44781</v>
      </c>
    </row>
    <row r="1278" spans="1:5" ht="14.25" customHeight="1">
      <c r="A1278" s="13">
        <v>1206</v>
      </c>
      <c r="B1278" s="13">
        <v>141626</v>
      </c>
      <c r="C1278" s="14">
        <v>44788</v>
      </c>
      <c r="D1278" s="15">
        <v>15</v>
      </c>
      <c r="E1278" t="str">
        <f t="shared" si="19"/>
        <v>1206-141626-44788</v>
      </c>
    </row>
    <row r="1279" spans="1:5" ht="14.25" customHeight="1">
      <c r="A1279" s="13">
        <v>1206</v>
      </c>
      <c r="B1279" s="13">
        <v>141791</v>
      </c>
      <c r="C1279" s="14">
        <v>44739</v>
      </c>
      <c r="D1279" s="15">
        <v>43</v>
      </c>
      <c r="E1279" t="str">
        <f t="shared" si="19"/>
        <v>1206-141791-44739</v>
      </c>
    </row>
    <row r="1280" spans="1:5" ht="14.25" customHeight="1">
      <c r="A1280" s="13">
        <v>1206</v>
      </c>
      <c r="B1280" s="13">
        <v>141791</v>
      </c>
      <c r="C1280" s="14">
        <v>44746</v>
      </c>
      <c r="D1280" s="15">
        <v>14</v>
      </c>
      <c r="E1280" t="str">
        <f t="shared" si="19"/>
        <v>1206-141791-44746</v>
      </c>
    </row>
    <row r="1281" spans="1:5" ht="14.25" customHeight="1">
      <c r="A1281" s="13">
        <v>1206</v>
      </c>
      <c r="B1281" s="13">
        <v>141791</v>
      </c>
      <c r="C1281" s="14">
        <v>44753</v>
      </c>
      <c r="D1281" s="15">
        <v>37</v>
      </c>
      <c r="E1281" t="str">
        <f t="shared" si="19"/>
        <v>1206-141791-44753</v>
      </c>
    </row>
    <row r="1282" spans="1:5" ht="14.25" customHeight="1">
      <c r="A1282" s="13">
        <v>1206</v>
      </c>
      <c r="B1282" s="13">
        <v>141791</v>
      </c>
      <c r="C1282" s="14">
        <v>44760</v>
      </c>
      <c r="D1282" s="15">
        <v>36</v>
      </c>
      <c r="E1282" t="str">
        <f t="shared" si="19"/>
        <v>1206-141791-44760</v>
      </c>
    </row>
    <row r="1283" spans="1:5" ht="14.25" customHeight="1">
      <c r="A1283" s="13">
        <v>1206</v>
      </c>
      <c r="B1283" s="13">
        <v>141791</v>
      </c>
      <c r="C1283" s="14">
        <v>44767</v>
      </c>
      <c r="D1283" s="15">
        <v>43</v>
      </c>
      <c r="E1283" t="str">
        <f t="shared" ref="E1283:E1346" si="20">A1283&amp;"-"&amp;B1283&amp;"-"&amp;INT(C1283)</f>
        <v>1206-141791-44767</v>
      </c>
    </row>
    <row r="1284" spans="1:5" ht="14.25" customHeight="1">
      <c r="A1284" s="13">
        <v>1206</v>
      </c>
      <c r="B1284" s="13">
        <v>141791</v>
      </c>
      <c r="C1284" s="14">
        <v>44774</v>
      </c>
      <c r="D1284" s="15">
        <v>35</v>
      </c>
      <c r="E1284" t="str">
        <f t="shared" si="20"/>
        <v>1206-141791-44774</v>
      </c>
    </row>
    <row r="1285" spans="1:5" ht="14.25" customHeight="1">
      <c r="A1285" s="13">
        <v>1206</v>
      </c>
      <c r="B1285" s="13">
        <v>141791</v>
      </c>
      <c r="C1285" s="14">
        <v>44781</v>
      </c>
      <c r="D1285" s="15">
        <v>30</v>
      </c>
      <c r="E1285" t="str">
        <f t="shared" si="20"/>
        <v>1206-141791-44781</v>
      </c>
    </row>
    <row r="1286" spans="1:5" ht="14.25" customHeight="1">
      <c r="A1286" s="13">
        <v>1206</v>
      </c>
      <c r="B1286" s="13">
        <v>141791</v>
      </c>
      <c r="C1286" s="14">
        <v>44788</v>
      </c>
      <c r="D1286" s="15">
        <v>34</v>
      </c>
      <c r="E1286" t="str">
        <f t="shared" si="20"/>
        <v>1206-141791-44788</v>
      </c>
    </row>
    <row r="1287" spans="1:5" ht="14.25" customHeight="1">
      <c r="A1287" s="13">
        <v>1206</v>
      </c>
      <c r="B1287" s="13">
        <v>141846</v>
      </c>
      <c r="C1287" s="14">
        <v>44739</v>
      </c>
      <c r="D1287" s="15">
        <v>11</v>
      </c>
      <c r="E1287" t="str">
        <f t="shared" si="20"/>
        <v>1206-141846-44739</v>
      </c>
    </row>
    <row r="1288" spans="1:5" ht="14.25" customHeight="1">
      <c r="A1288" s="13">
        <v>1206</v>
      </c>
      <c r="B1288" s="13">
        <v>141846</v>
      </c>
      <c r="C1288" s="14">
        <v>44746</v>
      </c>
      <c r="D1288" s="15">
        <v>10</v>
      </c>
      <c r="E1288" t="str">
        <f t="shared" si="20"/>
        <v>1206-141846-44746</v>
      </c>
    </row>
    <row r="1289" spans="1:5" ht="14.25" customHeight="1">
      <c r="A1289" s="13">
        <v>1206</v>
      </c>
      <c r="B1289" s="13">
        <v>141846</v>
      </c>
      <c r="C1289" s="14">
        <v>44753</v>
      </c>
      <c r="D1289" s="15">
        <v>11</v>
      </c>
      <c r="E1289" t="str">
        <f t="shared" si="20"/>
        <v>1206-141846-44753</v>
      </c>
    </row>
    <row r="1290" spans="1:5" ht="14.25" customHeight="1">
      <c r="A1290" s="13">
        <v>1206</v>
      </c>
      <c r="B1290" s="13">
        <v>141846</v>
      </c>
      <c r="C1290" s="14">
        <v>44760</v>
      </c>
      <c r="D1290" s="15">
        <v>5</v>
      </c>
      <c r="E1290" t="str">
        <f t="shared" si="20"/>
        <v>1206-141846-44760</v>
      </c>
    </row>
    <row r="1291" spans="1:5" ht="14.25" customHeight="1">
      <c r="A1291" s="13">
        <v>1206</v>
      </c>
      <c r="B1291" s="13">
        <v>141846</v>
      </c>
      <c r="C1291" s="14">
        <v>44767</v>
      </c>
      <c r="D1291" s="15">
        <v>13</v>
      </c>
      <c r="E1291" t="str">
        <f t="shared" si="20"/>
        <v>1206-141846-44767</v>
      </c>
    </row>
    <row r="1292" spans="1:5" ht="14.25" customHeight="1">
      <c r="A1292" s="13">
        <v>1206</v>
      </c>
      <c r="B1292" s="13">
        <v>141846</v>
      </c>
      <c r="C1292" s="14">
        <v>44774</v>
      </c>
      <c r="D1292" s="15">
        <v>10</v>
      </c>
      <c r="E1292" t="str">
        <f t="shared" si="20"/>
        <v>1206-141846-44774</v>
      </c>
    </row>
    <row r="1293" spans="1:5" ht="14.25" customHeight="1">
      <c r="A1293" s="13">
        <v>1206</v>
      </c>
      <c r="B1293" s="13">
        <v>141846</v>
      </c>
      <c r="C1293" s="14">
        <v>44781</v>
      </c>
      <c r="D1293" s="15">
        <v>12</v>
      </c>
      <c r="E1293" t="str">
        <f t="shared" si="20"/>
        <v>1206-141846-44781</v>
      </c>
    </row>
    <row r="1294" spans="1:5" ht="14.25" customHeight="1">
      <c r="A1294" s="13">
        <v>1206</v>
      </c>
      <c r="B1294" s="13">
        <v>141846</v>
      </c>
      <c r="C1294" s="14">
        <v>44788</v>
      </c>
      <c r="D1294" s="15">
        <v>9</v>
      </c>
      <c r="E1294" t="str">
        <f t="shared" si="20"/>
        <v>1206-141846-44788</v>
      </c>
    </row>
    <row r="1295" spans="1:5" ht="14.25" customHeight="1">
      <c r="A1295" s="13">
        <v>1206</v>
      </c>
      <c r="B1295" s="13">
        <v>141967</v>
      </c>
      <c r="C1295" s="14">
        <v>44739</v>
      </c>
      <c r="D1295" s="15">
        <v>17</v>
      </c>
      <c r="E1295" t="str">
        <f t="shared" si="20"/>
        <v>1206-141967-44739</v>
      </c>
    </row>
    <row r="1296" spans="1:5" ht="14.25" customHeight="1">
      <c r="A1296" s="13">
        <v>1206</v>
      </c>
      <c r="B1296" s="13">
        <v>141967</v>
      </c>
      <c r="C1296" s="14">
        <v>44746</v>
      </c>
      <c r="D1296" s="15">
        <v>20</v>
      </c>
      <c r="E1296" t="str">
        <f t="shared" si="20"/>
        <v>1206-141967-44746</v>
      </c>
    </row>
    <row r="1297" spans="1:5" ht="14.25" customHeight="1">
      <c r="A1297" s="13">
        <v>1206</v>
      </c>
      <c r="B1297" s="13">
        <v>141967</v>
      </c>
      <c r="C1297" s="14">
        <v>44753</v>
      </c>
      <c r="D1297" s="15">
        <v>15</v>
      </c>
      <c r="E1297" t="str">
        <f t="shared" si="20"/>
        <v>1206-141967-44753</v>
      </c>
    </row>
    <row r="1298" spans="1:5" ht="14.25" customHeight="1">
      <c r="A1298" s="13">
        <v>1206</v>
      </c>
      <c r="B1298" s="13">
        <v>141967</v>
      </c>
      <c r="C1298" s="14">
        <v>44760</v>
      </c>
      <c r="D1298" s="15">
        <v>13</v>
      </c>
      <c r="E1298" t="str">
        <f t="shared" si="20"/>
        <v>1206-141967-44760</v>
      </c>
    </row>
    <row r="1299" spans="1:5" ht="14.25" customHeight="1">
      <c r="A1299" s="13">
        <v>1206</v>
      </c>
      <c r="B1299" s="13">
        <v>141967</v>
      </c>
      <c r="C1299" s="14">
        <v>44767</v>
      </c>
      <c r="D1299" s="15">
        <v>20</v>
      </c>
      <c r="E1299" t="str">
        <f t="shared" si="20"/>
        <v>1206-141967-44767</v>
      </c>
    </row>
    <row r="1300" spans="1:5" ht="14.25" customHeight="1">
      <c r="A1300" s="13">
        <v>1206</v>
      </c>
      <c r="B1300" s="13">
        <v>141967</v>
      </c>
      <c r="C1300" s="14">
        <v>44774</v>
      </c>
      <c r="D1300" s="15">
        <v>5</v>
      </c>
      <c r="E1300" t="str">
        <f t="shared" si="20"/>
        <v>1206-141967-44774</v>
      </c>
    </row>
    <row r="1301" spans="1:5" ht="14.25" customHeight="1">
      <c r="A1301" s="13">
        <v>1206</v>
      </c>
      <c r="B1301" s="13">
        <v>141967</v>
      </c>
      <c r="C1301" s="14">
        <v>44781</v>
      </c>
      <c r="D1301" s="15">
        <v>12</v>
      </c>
      <c r="E1301" t="str">
        <f t="shared" si="20"/>
        <v>1206-141967-44781</v>
      </c>
    </row>
    <row r="1302" spans="1:5" ht="14.25" customHeight="1">
      <c r="A1302" s="13">
        <v>1206</v>
      </c>
      <c r="B1302" s="13">
        <v>141967</v>
      </c>
      <c r="C1302" s="14">
        <v>44788</v>
      </c>
      <c r="D1302" s="15">
        <v>0</v>
      </c>
      <c r="E1302" t="str">
        <f t="shared" si="20"/>
        <v>1206-141967-44788</v>
      </c>
    </row>
    <row r="1303" spans="1:5" ht="14.25" customHeight="1">
      <c r="A1303" s="13">
        <v>1206</v>
      </c>
      <c r="B1303" s="13">
        <v>142194</v>
      </c>
      <c r="C1303" s="14">
        <v>44739</v>
      </c>
      <c r="D1303" s="15">
        <v>15</v>
      </c>
      <c r="E1303" t="str">
        <f t="shared" si="20"/>
        <v>1206-142194-44739</v>
      </c>
    </row>
    <row r="1304" spans="1:5" ht="14.25" customHeight="1">
      <c r="A1304" s="13">
        <v>1206</v>
      </c>
      <c r="B1304" s="13">
        <v>142194</v>
      </c>
      <c r="C1304" s="14">
        <v>44746</v>
      </c>
      <c r="D1304" s="15">
        <v>6</v>
      </c>
      <c r="E1304" t="str">
        <f t="shared" si="20"/>
        <v>1206-142194-44746</v>
      </c>
    </row>
    <row r="1305" spans="1:5" ht="14.25" customHeight="1">
      <c r="A1305" s="13">
        <v>1206</v>
      </c>
      <c r="B1305" s="13">
        <v>142194</v>
      </c>
      <c r="C1305" s="14">
        <v>44753</v>
      </c>
      <c r="D1305" s="15">
        <v>2</v>
      </c>
      <c r="E1305" t="str">
        <f t="shared" si="20"/>
        <v>1206-142194-44753</v>
      </c>
    </row>
    <row r="1306" spans="1:5" ht="14.25" customHeight="1">
      <c r="A1306" s="13">
        <v>1206</v>
      </c>
      <c r="B1306" s="13">
        <v>142194</v>
      </c>
      <c r="C1306" s="14">
        <v>44760</v>
      </c>
      <c r="D1306" s="15">
        <v>12</v>
      </c>
      <c r="E1306" t="str">
        <f t="shared" si="20"/>
        <v>1206-142194-44760</v>
      </c>
    </row>
    <row r="1307" spans="1:5" ht="14.25" customHeight="1">
      <c r="A1307" s="16">
        <v>1206</v>
      </c>
      <c r="B1307" s="13">
        <v>142194</v>
      </c>
      <c r="C1307" s="14">
        <v>44767</v>
      </c>
      <c r="D1307" s="15">
        <v>12</v>
      </c>
      <c r="E1307" t="str">
        <f t="shared" si="20"/>
        <v>1206-142194-44767</v>
      </c>
    </row>
    <row r="1308" spans="1:5" ht="14.25" customHeight="1">
      <c r="A1308" s="13">
        <v>1206</v>
      </c>
      <c r="B1308" s="13">
        <v>142194</v>
      </c>
      <c r="C1308" s="14">
        <v>44774</v>
      </c>
      <c r="D1308" s="15">
        <v>19</v>
      </c>
      <c r="E1308" t="str">
        <f t="shared" si="20"/>
        <v>1206-142194-44774</v>
      </c>
    </row>
    <row r="1309" spans="1:5" ht="14.25" customHeight="1">
      <c r="A1309" s="13">
        <v>1206</v>
      </c>
      <c r="B1309" s="13">
        <v>142194</v>
      </c>
      <c r="C1309" s="14">
        <v>44781</v>
      </c>
      <c r="D1309" s="15">
        <v>12</v>
      </c>
      <c r="E1309" t="str">
        <f t="shared" si="20"/>
        <v>1206-142194-44781</v>
      </c>
    </row>
    <row r="1310" spans="1:5" ht="14.25" customHeight="1">
      <c r="A1310" s="13">
        <v>1206</v>
      </c>
      <c r="B1310" s="13">
        <v>142194</v>
      </c>
      <c r="C1310" s="14">
        <v>44788</v>
      </c>
      <c r="D1310" s="15">
        <v>18</v>
      </c>
      <c r="E1310" t="str">
        <f t="shared" si="20"/>
        <v>1206-142194-44788</v>
      </c>
    </row>
    <row r="1311" spans="1:5" ht="14.25" customHeight="1">
      <c r="A1311" s="13">
        <v>1206</v>
      </c>
      <c r="B1311" s="13">
        <v>149729</v>
      </c>
      <c r="C1311" s="14">
        <v>44739</v>
      </c>
      <c r="D1311" s="15">
        <v>19</v>
      </c>
      <c r="E1311" t="str">
        <f t="shared" si="20"/>
        <v>1206-149729-44739</v>
      </c>
    </row>
    <row r="1312" spans="1:5" ht="14.25" customHeight="1">
      <c r="A1312" s="13">
        <v>1206</v>
      </c>
      <c r="B1312" s="13">
        <v>149729</v>
      </c>
      <c r="C1312" s="14">
        <v>44746</v>
      </c>
      <c r="D1312" s="15">
        <v>8</v>
      </c>
      <c r="E1312" t="str">
        <f t="shared" si="20"/>
        <v>1206-149729-44746</v>
      </c>
    </row>
    <row r="1313" spans="1:5" ht="14.25" customHeight="1">
      <c r="A1313" s="13">
        <v>1206</v>
      </c>
      <c r="B1313" s="13">
        <v>149729</v>
      </c>
      <c r="C1313" s="14">
        <v>44753</v>
      </c>
      <c r="D1313" s="15">
        <v>6</v>
      </c>
      <c r="E1313" t="str">
        <f t="shared" si="20"/>
        <v>1206-149729-44753</v>
      </c>
    </row>
    <row r="1314" spans="1:5" ht="14.25" customHeight="1">
      <c r="A1314" s="13">
        <v>1206</v>
      </c>
      <c r="B1314" s="13">
        <v>149729</v>
      </c>
      <c r="C1314" s="14">
        <v>44760</v>
      </c>
      <c r="D1314" s="15">
        <v>5</v>
      </c>
      <c r="E1314" t="str">
        <f t="shared" si="20"/>
        <v>1206-149729-44760</v>
      </c>
    </row>
    <row r="1315" spans="1:5" ht="14.25" customHeight="1">
      <c r="A1315" s="13">
        <v>1206</v>
      </c>
      <c r="B1315" s="13">
        <v>149729</v>
      </c>
      <c r="C1315" s="14">
        <v>44767</v>
      </c>
      <c r="D1315" s="15">
        <v>21</v>
      </c>
      <c r="E1315" t="str">
        <f t="shared" si="20"/>
        <v>1206-149729-44767</v>
      </c>
    </row>
    <row r="1316" spans="1:5" ht="14.25" customHeight="1">
      <c r="A1316" s="13">
        <v>1206</v>
      </c>
      <c r="B1316" s="13">
        <v>149729</v>
      </c>
      <c r="C1316" s="14">
        <v>44774</v>
      </c>
      <c r="D1316" s="15">
        <v>24</v>
      </c>
      <c r="E1316" t="str">
        <f t="shared" si="20"/>
        <v>1206-149729-44774</v>
      </c>
    </row>
    <row r="1317" spans="1:5" ht="14.25" customHeight="1">
      <c r="A1317" s="13">
        <v>1206</v>
      </c>
      <c r="B1317" s="13">
        <v>149729</v>
      </c>
      <c r="C1317" s="14">
        <v>44781</v>
      </c>
      <c r="D1317" s="15">
        <v>7</v>
      </c>
      <c r="E1317" t="str">
        <f t="shared" si="20"/>
        <v>1206-149729-44781</v>
      </c>
    </row>
    <row r="1318" spans="1:5" ht="14.25" customHeight="1">
      <c r="A1318" s="13">
        <v>1206</v>
      </c>
      <c r="B1318" s="13">
        <v>149729</v>
      </c>
      <c r="C1318" s="14">
        <v>44788</v>
      </c>
      <c r="D1318" s="15">
        <v>15</v>
      </c>
      <c r="E1318" t="str">
        <f t="shared" si="20"/>
        <v>1206-149729-44788</v>
      </c>
    </row>
    <row r="1319" spans="1:5" ht="14.25" customHeight="1">
      <c r="A1319" s="13">
        <v>1206</v>
      </c>
      <c r="B1319" s="13">
        <v>149779</v>
      </c>
      <c r="C1319" s="14">
        <v>44739</v>
      </c>
      <c r="D1319" s="15">
        <v>34</v>
      </c>
      <c r="E1319" t="str">
        <f t="shared" si="20"/>
        <v>1206-149779-44739</v>
      </c>
    </row>
    <row r="1320" spans="1:5" ht="14.25" customHeight="1">
      <c r="A1320" s="13">
        <v>1206</v>
      </c>
      <c r="B1320" s="13">
        <v>149779</v>
      </c>
      <c r="C1320" s="14">
        <v>44746</v>
      </c>
      <c r="D1320" s="15">
        <v>34</v>
      </c>
      <c r="E1320" t="str">
        <f t="shared" si="20"/>
        <v>1206-149779-44746</v>
      </c>
    </row>
    <row r="1321" spans="1:5" ht="14.25" customHeight="1">
      <c r="A1321" s="13">
        <v>1206</v>
      </c>
      <c r="B1321" s="13">
        <v>149779</v>
      </c>
      <c r="C1321" s="14">
        <v>44753</v>
      </c>
      <c r="D1321" s="15">
        <v>34</v>
      </c>
      <c r="E1321" t="str">
        <f t="shared" si="20"/>
        <v>1206-149779-44753</v>
      </c>
    </row>
    <row r="1322" spans="1:5" ht="14.25" customHeight="1">
      <c r="A1322" s="13">
        <v>1206</v>
      </c>
      <c r="B1322" s="13">
        <v>149779</v>
      </c>
      <c r="C1322" s="14">
        <v>44760</v>
      </c>
      <c r="D1322" s="15">
        <v>34</v>
      </c>
      <c r="E1322" t="str">
        <f t="shared" si="20"/>
        <v>1206-149779-44760</v>
      </c>
    </row>
    <row r="1323" spans="1:5" ht="14.25" customHeight="1">
      <c r="A1323" s="13">
        <v>1206</v>
      </c>
      <c r="B1323" s="13">
        <v>149779</v>
      </c>
      <c r="C1323" s="14">
        <v>44767</v>
      </c>
      <c r="D1323" s="15">
        <v>34</v>
      </c>
      <c r="E1323" t="str">
        <f t="shared" si="20"/>
        <v>1206-149779-44767</v>
      </c>
    </row>
    <row r="1324" spans="1:5" ht="14.25" customHeight="1">
      <c r="A1324" s="13">
        <v>1206</v>
      </c>
      <c r="B1324" s="13">
        <v>149779</v>
      </c>
      <c r="C1324" s="14">
        <v>44774</v>
      </c>
      <c r="D1324" s="15">
        <v>34</v>
      </c>
      <c r="E1324" t="str">
        <f t="shared" si="20"/>
        <v>1206-149779-44774</v>
      </c>
    </row>
    <row r="1325" spans="1:5" ht="14.25" customHeight="1">
      <c r="A1325" s="13">
        <v>1206</v>
      </c>
      <c r="B1325" s="13">
        <v>149779</v>
      </c>
      <c r="C1325" s="14">
        <v>44781</v>
      </c>
      <c r="D1325" s="15">
        <v>34</v>
      </c>
      <c r="E1325" t="str">
        <f t="shared" si="20"/>
        <v>1206-149779-44781</v>
      </c>
    </row>
    <row r="1326" spans="1:5" ht="14.25" customHeight="1">
      <c r="A1326" s="13">
        <v>1206</v>
      </c>
      <c r="B1326" s="13">
        <v>149779</v>
      </c>
      <c r="C1326" s="14">
        <v>44788</v>
      </c>
      <c r="D1326" s="15">
        <v>34</v>
      </c>
      <c r="E1326" t="str">
        <f t="shared" si="20"/>
        <v>1206-149779-44788</v>
      </c>
    </row>
    <row r="1327" spans="1:5" ht="14.25" customHeight="1">
      <c r="A1327" s="13">
        <v>1206</v>
      </c>
      <c r="B1327" s="13">
        <v>189933</v>
      </c>
      <c r="C1327" s="14">
        <v>44739</v>
      </c>
      <c r="D1327" s="15">
        <v>54</v>
      </c>
      <c r="E1327" t="str">
        <f t="shared" si="20"/>
        <v>1206-189933-44739</v>
      </c>
    </row>
    <row r="1328" spans="1:5" ht="14.25" customHeight="1">
      <c r="A1328" s="13">
        <v>1206</v>
      </c>
      <c r="B1328" s="13">
        <v>189933</v>
      </c>
      <c r="C1328" s="14">
        <v>44746</v>
      </c>
      <c r="D1328" s="15">
        <v>36</v>
      </c>
      <c r="E1328" t="str">
        <f t="shared" si="20"/>
        <v>1206-189933-44746</v>
      </c>
    </row>
    <row r="1329" spans="1:5" ht="14.25" customHeight="1">
      <c r="A1329" s="13">
        <v>1206</v>
      </c>
      <c r="B1329" s="13">
        <v>189933</v>
      </c>
      <c r="C1329" s="14">
        <v>44753</v>
      </c>
      <c r="D1329" s="15">
        <v>13</v>
      </c>
      <c r="E1329" t="str">
        <f t="shared" si="20"/>
        <v>1206-189933-44753</v>
      </c>
    </row>
    <row r="1330" spans="1:5" ht="14.25" customHeight="1">
      <c r="A1330" s="13">
        <v>1206</v>
      </c>
      <c r="B1330" s="13">
        <v>189933</v>
      </c>
      <c r="C1330" s="14">
        <v>44760</v>
      </c>
      <c r="D1330" s="15">
        <v>39</v>
      </c>
      <c r="E1330" t="str">
        <f t="shared" si="20"/>
        <v>1206-189933-44760</v>
      </c>
    </row>
    <row r="1331" spans="1:5" ht="14.25" customHeight="1">
      <c r="A1331" s="13">
        <v>1206</v>
      </c>
      <c r="B1331" s="13">
        <v>189933</v>
      </c>
      <c r="C1331" s="14">
        <v>44767</v>
      </c>
      <c r="D1331" s="15">
        <v>50</v>
      </c>
      <c r="E1331" t="str">
        <f t="shared" si="20"/>
        <v>1206-189933-44767</v>
      </c>
    </row>
    <row r="1332" spans="1:5" ht="14.25" customHeight="1">
      <c r="A1332" s="13">
        <v>1206</v>
      </c>
      <c r="B1332" s="13">
        <v>189933</v>
      </c>
      <c r="C1332" s="14">
        <v>44774</v>
      </c>
      <c r="D1332" s="15">
        <v>48</v>
      </c>
      <c r="E1332" t="str">
        <f t="shared" si="20"/>
        <v>1206-189933-44774</v>
      </c>
    </row>
    <row r="1333" spans="1:5" ht="14.25" customHeight="1">
      <c r="A1333" s="13">
        <v>1206</v>
      </c>
      <c r="B1333" s="13">
        <v>189933</v>
      </c>
      <c r="C1333" s="14">
        <v>44781</v>
      </c>
      <c r="D1333" s="15">
        <v>27</v>
      </c>
      <c r="E1333" t="str">
        <f t="shared" si="20"/>
        <v>1206-189933-44781</v>
      </c>
    </row>
    <row r="1334" spans="1:5" ht="14.25" customHeight="1">
      <c r="A1334" s="13">
        <v>1206</v>
      </c>
      <c r="B1334" s="13">
        <v>189933</v>
      </c>
      <c r="C1334" s="14">
        <v>44788</v>
      </c>
      <c r="D1334" s="15">
        <v>27</v>
      </c>
      <c r="E1334" t="str">
        <f t="shared" si="20"/>
        <v>1206-189933-44788</v>
      </c>
    </row>
    <row r="1335" spans="1:5" ht="14.25" customHeight="1">
      <c r="A1335" s="13">
        <v>1206</v>
      </c>
      <c r="B1335" s="13">
        <v>202577</v>
      </c>
      <c r="C1335" s="14">
        <v>44739</v>
      </c>
      <c r="D1335" s="15">
        <v>36</v>
      </c>
      <c r="E1335" t="str">
        <f t="shared" si="20"/>
        <v>1206-202577-44739</v>
      </c>
    </row>
    <row r="1336" spans="1:5" ht="14.25" customHeight="1">
      <c r="A1336" s="13">
        <v>1206</v>
      </c>
      <c r="B1336" s="13">
        <v>202577</v>
      </c>
      <c r="C1336" s="14">
        <v>44746</v>
      </c>
      <c r="D1336" s="15">
        <v>36</v>
      </c>
      <c r="E1336" t="str">
        <f t="shared" si="20"/>
        <v>1206-202577-44746</v>
      </c>
    </row>
    <row r="1337" spans="1:5" ht="14.25" customHeight="1">
      <c r="A1337" s="13">
        <v>1206</v>
      </c>
      <c r="B1337" s="13">
        <v>202577</v>
      </c>
      <c r="C1337" s="14">
        <v>44753</v>
      </c>
      <c r="D1337" s="15">
        <v>36</v>
      </c>
      <c r="E1337" t="str">
        <f t="shared" si="20"/>
        <v>1206-202577-44753</v>
      </c>
    </row>
    <row r="1338" spans="1:5" ht="14.25" customHeight="1">
      <c r="A1338" s="13">
        <v>1206</v>
      </c>
      <c r="B1338" s="13">
        <v>202577</v>
      </c>
      <c r="C1338" s="14">
        <v>44760</v>
      </c>
      <c r="D1338" s="15">
        <v>36</v>
      </c>
      <c r="E1338" t="str">
        <f t="shared" si="20"/>
        <v>1206-202577-44760</v>
      </c>
    </row>
    <row r="1339" spans="1:5" ht="14.25" customHeight="1">
      <c r="A1339" s="13">
        <v>1206</v>
      </c>
      <c r="B1339" s="13">
        <v>202577</v>
      </c>
      <c r="C1339" s="14">
        <v>44767</v>
      </c>
      <c r="D1339" s="15">
        <v>36</v>
      </c>
      <c r="E1339" t="str">
        <f t="shared" si="20"/>
        <v>1206-202577-44767</v>
      </c>
    </row>
    <row r="1340" spans="1:5" ht="14.25" customHeight="1">
      <c r="A1340" s="13">
        <v>1206</v>
      </c>
      <c r="B1340" s="13">
        <v>202577</v>
      </c>
      <c r="C1340" s="14">
        <v>44774</v>
      </c>
      <c r="D1340" s="15">
        <v>36</v>
      </c>
      <c r="E1340" t="str">
        <f t="shared" si="20"/>
        <v>1206-202577-44774</v>
      </c>
    </row>
    <row r="1341" spans="1:5" ht="14.25" customHeight="1">
      <c r="A1341" s="13">
        <v>1206</v>
      </c>
      <c r="B1341" s="13">
        <v>202577</v>
      </c>
      <c r="C1341" s="14">
        <v>44781</v>
      </c>
      <c r="D1341" s="15">
        <v>36</v>
      </c>
      <c r="E1341" t="str">
        <f t="shared" si="20"/>
        <v>1206-202577-44781</v>
      </c>
    </row>
    <row r="1342" spans="1:5" ht="14.25" customHeight="1">
      <c r="A1342" s="13">
        <v>1206</v>
      </c>
      <c r="B1342" s="13">
        <v>202577</v>
      </c>
      <c r="C1342" s="14">
        <v>44788</v>
      </c>
      <c r="D1342" s="15">
        <v>36</v>
      </c>
      <c r="E1342" t="str">
        <f t="shared" si="20"/>
        <v>1206-202577-44788</v>
      </c>
    </row>
    <row r="1343" spans="1:5" ht="14.25" customHeight="1">
      <c r="A1343" s="13">
        <v>1206</v>
      </c>
      <c r="B1343" s="13">
        <v>234334</v>
      </c>
      <c r="C1343" s="14">
        <v>44739</v>
      </c>
      <c r="D1343" s="15">
        <v>20</v>
      </c>
      <c r="E1343" t="str">
        <f t="shared" si="20"/>
        <v>1206-234334-44739</v>
      </c>
    </row>
    <row r="1344" spans="1:5" ht="14.25" customHeight="1">
      <c r="A1344" s="13">
        <v>1206</v>
      </c>
      <c r="B1344" s="13">
        <v>234334</v>
      </c>
      <c r="C1344" s="14">
        <v>44746</v>
      </c>
      <c r="D1344" s="15">
        <v>22</v>
      </c>
      <c r="E1344" t="str">
        <f t="shared" si="20"/>
        <v>1206-234334-44746</v>
      </c>
    </row>
    <row r="1345" spans="1:5" ht="14.25" customHeight="1">
      <c r="A1345" s="13">
        <v>1206</v>
      </c>
      <c r="B1345" s="13">
        <v>234334</v>
      </c>
      <c r="C1345" s="14">
        <v>44753</v>
      </c>
      <c r="D1345" s="15">
        <v>26</v>
      </c>
      <c r="E1345" t="str">
        <f t="shared" si="20"/>
        <v>1206-234334-44753</v>
      </c>
    </row>
    <row r="1346" spans="1:5" ht="14.25" customHeight="1">
      <c r="A1346" s="13">
        <v>1206</v>
      </c>
      <c r="B1346" s="13">
        <v>234334</v>
      </c>
      <c r="C1346" s="14">
        <v>44760</v>
      </c>
      <c r="D1346" s="15">
        <v>24</v>
      </c>
      <c r="E1346" t="str">
        <f t="shared" si="20"/>
        <v>1206-234334-44760</v>
      </c>
    </row>
    <row r="1347" spans="1:5" ht="14.25" customHeight="1">
      <c r="A1347" s="13">
        <v>1206</v>
      </c>
      <c r="B1347" s="13">
        <v>234334</v>
      </c>
      <c r="C1347" s="14">
        <v>44767</v>
      </c>
      <c r="D1347" s="15">
        <v>9</v>
      </c>
      <c r="E1347" t="str">
        <f t="shared" ref="E1347:E1410" si="21">A1347&amp;"-"&amp;B1347&amp;"-"&amp;INT(C1347)</f>
        <v>1206-234334-44767</v>
      </c>
    </row>
    <row r="1348" spans="1:5" ht="14.25" customHeight="1">
      <c r="A1348" s="13">
        <v>1206</v>
      </c>
      <c r="B1348" s="13">
        <v>234334</v>
      </c>
      <c r="C1348" s="14">
        <v>44774</v>
      </c>
      <c r="D1348" s="15">
        <v>29</v>
      </c>
      <c r="E1348" t="str">
        <f t="shared" si="21"/>
        <v>1206-234334-44774</v>
      </c>
    </row>
    <row r="1349" spans="1:5" ht="14.25" customHeight="1">
      <c r="A1349" s="13">
        <v>1206</v>
      </c>
      <c r="B1349" s="13">
        <v>234334</v>
      </c>
      <c r="C1349" s="14">
        <v>44781</v>
      </c>
      <c r="D1349" s="15">
        <v>9</v>
      </c>
      <c r="E1349" t="str">
        <f t="shared" si="21"/>
        <v>1206-234334-44781</v>
      </c>
    </row>
    <row r="1350" spans="1:5" ht="14.25" customHeight="1">
      <c r="A1350" s="13">
        <v>1206</v>
      </c>
      <c r="B1350" s="13">
        <v>234334</v>
      </c>
      <c r="C1350" s="14">
        <v>44788</v>
      </c>
      <c r="D1350" s="15">
        <v>1</v>
      </c>
      <c r="E1350" t="str">
        <f t="shared" si="21"/>
        <v>1206-234334-44788</v>
      </c>
    </row>
    <row r="1351" spans="1:5" ht="14.25" customHeight="1">
      <c r="A1351" s="13">
        <v>1206</v>
      </c>
      <c r="B1351" s="13">
        <v>249444</v>
      </c>
      <c r="C1351" s="14">
        <v>44739</v>
      </c>
      <c r="D1351" s="15">
        <v>138</v>
      </c>
      <c r="E1351" t="str">
        <f t="shared" si="21"/>
        <v>1206-249444-44739</v>
      </c>
    </row>
    <row r="1352" spans="1:5" ht="14.25" customHeight="1">
      <c r="A1352" s="13">
        <v>1206</v>
      </c>
      <c r="B1352" s="13">
        <v>249444</v>
      </c>
      <c r="C1352" s="14">
        <v>44746</v>
      </c>
      <c r="D1352" s="15">
        <v>323</v>
      </c>
      <c r="E1352" t="str">
        <f t="shared" si="21"/>
        <v>1206-249444-44746</v>
      </c>
    </row>
    <row r="1353" spans="1:5" ht="14.25" customHeight="1">
      <c r="A1353" s="13">
        <v>1206</v>
      </c>
      <c r="B1353" s="13">
        <v>249444</v>
      </c>
      <c r="C1353" s="14">
        <v>44753</v>
      </c>
      <c r="D1353" s="15">
        <v>92</v>
      </c>
      <c r="E1353" t="str">
        <f t="shared" si="21"/>
        <v>1206-249444-44753</v>
      </c>
    </row>
    <row r="1354" spans="1:5" ht="14.25" customHeight="1">
      <c r="A1354" s="13">
        <v>1206</v>
      </c>
      <c r="B1354" s="13">
        <v>249444</v>
      </c>
      <c r="C1354" s="14">
        <v>44760</v>
      </c>
      <c r="D1354" s="15">
        <v>216</v>
      </c>
      <c r="E1354" t="str">
        <f t="shared" si="21"/>
        <v>1206-249444-44760</v>
      </c>
    </row>
    <row r="1355" spans="1:5" ht="14.25" customHeight="1">
      <c r="A1355" s="13">
        <v>1206</v>
      </c>
      <c r="B1355" s="13">
        <v>249444</v>
      </c>
      <c r="C1355" s="14">
        <v>44767</v>
      </c>
      <c r="D1355" s="15">
        <v>94</v>
      </c>
      <c r="E1355" t="str">
        <f t="shared" si="21"/>
        <v>1206-249444-44767</v>
      </c>
    </row>
    <row r="1356" spans="1:5" ht="14.25" customHeight="1">
      <c r="A1356" s="13">
        <v>1206</v>
      </c>
      <c r="B1356" s="13">
        <v>249444</v>
      </c>
      <c r="C1356" s="14">
        <v>44774</v>
      </c>
      <c r="D1356" s="15">
        <v>90</v>
      </c>
      <c r="E1356" t="str">
        <f t="shared" si="21"/>
        <v>1206-249444-44774</v>
      </c>
    </row>
    <row r="1357" spans="1:5" ht="14.25" customHeight="1">
      <c r="A1357" s="13">
        <v>1206</v>
      </c>
      <c r="B1357" s="13">
        <v>249444</v>
      </c>
      <c r="C1357" s="14">
        <v>44781</v>
      </c>
      <c r="D1357" s="15">
        <v>264</v>
      </c>
      <c r="E1357" t="str">
        <f t="shared" si="21"/>
        <v>1206-249444-44781</v>
      </c>
    </row>
    <row r="1358" spans="1:5" ht="14.25" customHeight="1">
      <c r="A1358" s="13">
        <v>1206</v>
      </c>
      <c r="B1358" s="13">
        <v>249444</v>
      </c>
      <c r="C1358" s="14">
        <v>44788</v>
      </c>
      <c r="D1358" s="15">
        <v>308</v>
      </c>
      <c r="E1358" t="str">
        <f t="shared" si="21"/>
        <v>1206-249444-44788</v>
      </c>
    </row>
    <row r="1359" spans="1:5" ht="14.25" customHeight="1">
      <c r="A1359" s="13">
        <v>1206</v>
      </c>
      <c r="B1359" s="13">
        <v>249795</v>
      </c>
      <c r="C1359" s="14">
        <v>44739</v>
      </c>
      <c r="D1359" s="15">
        <v>27</v>
      </c>
      <c r="E1359" t="str">
        <f t="shared" si="21"/>
        <v>1206-249795-44739</v>
      </c>
    </row>
    <row r="1360" spans="1:5" ht="14.25" customHeight="1">
      <c r="A1360" s="13">
        <v>1206</v>
      </c>
      <c r="B1360" s="13">
        <v>249795</v>
      </c>
      <c r="C1360" s="14">
        <v>44746</v>
      </c>
      <c r="D1360" s="15">
        <v>36</v>
      </c>
      <c r="E1360" t="str">
        <f t="shared" si="21"/>
        <v>1206-249795-44746</v>
      </c>
    </row>
    <row r="1361" spans="1:5" ht="14.25" customHeight="1">
      <c r="A1361" s="13">
        <v>1206</v>
      </c>
      <c r="B1361" s="13">
        <v>249795</v>
      </c>
      <c r="C1361" s="14">
        <v>44753</v>
      </c>
      <c r="D1361" s="15">
        <v>38</v>
      </c>
      <c r="E1361" t="str">
        <f t="shared" si="21"/>
        <v>1206-249795-44753</v>
      </c>
    </row>
    <row r="1362" spans="1:5" ht="14.25" customHeight="1">
      <c r="A1362" s="13">
        <v>1206</v>
      </c>
      <c r="B1362" s="13">
        <v>249795</v>
      </c>
      <c r="C1362" s="14">
        <v>44760</v>
      </c>
      <c r="D1362" s="15">
        <v>13</v>
      </c>
      <c r="E1362" t="str">
        <f t="shared" si="21"/>
        <v>1206-249795-44760</v>
      </c>
    </row>
    <row r="1363" spans="1:5" ht="14.25" customHeight="1">
      <c r="A1363" s="13">
        <v>1206</v>
      </c>
      <c r="B1363" s="13">
        <v>249795</v>
      </c>
      <c r="C1363" s="14">
        <v>44767</v>
      </c>
      <c r="D1363" s="15">
        <v>34</v>
      </c>
      <c r="E1363" t="str">
        <f t="shared" si="21"/>
        <v>1206-249795-44767</v>
      </c>
    </row>
    <row r="1364" spans="1:5" ht="14.25" customHeight="1">
      <c r="A1364" s="13">
        <v>1206</v>
      </c>
      <c r="B1364" s="13">
        <v>249795</v>
      </c>
      <c r="C1364" s="14">
        <v>44774</v>
      </c>
      <c r="D1364" s="15">
        <v>28</v>
      </c>
      <c r="E1364" t="str">
        <f t="shared" si="21"/>
        <v>1206-249795-44774</v>
      </c>
    </row>
    <row r="1365" spans="1:5" ht="14.25" customHeight="1">
      <c r="A1365" s="13">
        <v>1206</v>
      </c>
      <c r="B1365" s="13">
        <v>249795</v>
      </c>
      <c r="C1365" s="14">
        <v>44781</v>
      </c>
      <c r="D1365" s="15">
        <v>24</v>
      </c>
      <c r="E1365" t="str">
        <f t="shared" si="21"/>
        <v>1206-249795-44781</v>
      </c>
    </row>
    <row r="1366" spans="1:5" ht="14.25" customHeight="1">
      <c r="A1366" s="13">
        <v>1206</v>
      </c>
      <c r="B1366" s="13">
        <v>249795</v>
      </c>
      <c r="C1366" s="14">
        <v>44788</v>
      </c>
      <c r="D1366" s="15">
        <v>10</v>
      </c>
      <c r="E1366" t="str">
        <f t="shared" si="21"/>
        <v>1206-249795-44788</v>
      </c>
    </row>
    <row r="1367" spans="1:5" ht="14.25" customHeight="1">
      <c r="A1367" s="13">
        <v>1206</v>
      </c>
      <c r="B1367" s="13">
        <v>250979</v>
      </c>
      <c r="C1367" s="14">
        <v>44739</v>
      </c>
      <c r="D1367" s="15">
        <v>27</v>
      </c>
      <c r="E1367" t="str">
        <f t="shared" si="21"/>
        <v>1206-250979-44739</v>
      </c>
    </row>
    <row r="1368" spans="1:5" ht="14.25" customHeight="1">
      <c r="A1368" s="13">
        <v>1206</v>
      </c>
      <c r="B1368" s="13">
        <v>250979</v>
      </c>
      <c r="C1368" s="14">
        <v>44746</v>
      </c>
      <c r="D1368" s="15">
        <v>83</v>
      </c>
      <c r="E1368" t="str">
        <f t="shared" si="21"/>
        <v>1206-250979-44746</v>
      </c>
    </row>
    <row r="1369" spans="1:5" ht="14.25" customHeight="1">
      <c r="A1369" s="13">
        <v>1206</v>
      </c>
      <c r="B1369" s="13">
        <v>250979</v>
      </c>
      <c r="C1369" s="14">
        <v>44753</v>
      </c>
      <c r="D1369" s="15">
        <v>101</v>
      </c>
      <c r="E1369" t="str">
        <f t="shared" si="21"/>
        <v>1206-250979-44753</v>
      </c>
    </row>
    <row r="1370" spans="1:5" ht="14.25" customHeight="1">
      <c r="A1370" s="13">
        <v>1206</v>
      </c>
      <c r="B1370" s="13">
        <v>250979</v>
      </c>
      <c r="C1370" s="14">
        <v>44760</v>
      </c>
      <c r="D1370" s="15">
        <v>91</v>
      </c>
      <c r="E1370" t="str">
        <f t="shared" si="21"/>
        <v>1206-250979-44760</v>
      </c>
    </row>
    <row r="1371" spans="1:5" ht="14.25" customHeight="1">
      <c r="A1371" s="13">
        <v>1206</v>
      </c>
      <c r="B1371" s="13">
        <v>250979</v>
      </c>
      <c r="C1371" s="14">
        <v>44767</v>
      </c>
      <c r="D1371" s="15">
        <v>30</v>
      </c>
      <c r="E1371" t="str">
        <f t="shared" si="21"/>
        <v>1206-250979-44767</v>
      </c>
    </row>
    <row r="1372" spans="1:5" ht="14.25" customHeight="1">
      <c r="A1372" s="13">
        <v>1206</v>
      </c>
      <c r="B1372" s="13">
        <v>250979</v>
      </c>
      <c r="C1372" s="14">
        <v>44774</v>
      </c>
      <c r="D1372" s="15">
        <v>75</v>
      </c>
      <c r="E1372" t="str">
        <f t="shared" si="21"/>
        <v>1206-250979-44774</v>
      </c>
    </row>
    <row r="1373" spans="1:5" ht="14.25" customHeight="1">
      <c r="A1373" s="13">
        <v>1206</v>
      </c>
      <c r="B1373" s="13">
        <v>250979</v>
      </c>
      <c r="C1373" s="14">
        <v>44781</v>
      </c>
      <c r="D1373" s="15">
        <v>84</v>
      </c>
      <c r="E1373" t="str">
        <f t="shared" si="21"/>
        <v>1206-250979-44781</v>
      </c>
    </row>
    <row r="1374" spans="1:5" ht="14.25" customHeight="1">
      <c r="A1374" s="13">
        <v>1206</v>
      </c>
      <c r="B1374" s="13">
        <v>250979</v>
      </c>
      <c r="C1374" s="14">
        <v>44788</v>
      </c>
      <c r="D1374" s="15">
        <v>39</v>
      </c>
      <c r="E1374" t="str">
        <f t="shared" si="21"/>
        <v>1206-250979-44788</v>
      </c>
    </row>
    <row r="1375" spans="1:5" ht="14.25" customHeight="1">
      <c r="A1375" s="13">
        <v>1206</v>
      </c>
      <c r="B1375" s="13">
        <v>250981</v>
      </c>
      <c r="C1375" s="14">
        <v>44739</v>
      </c>
      <c r="D1375" s="15">
        <v>3</v>
      </c>
      <c r="E1375" t="str">
        <f t="shared" si="21"/>
        <v>1206-250981-44739</v>
      </c>
    </row>
    <row r="1376" spans="1:5" ht="14.25" customHeight="1">
      <c r="A1376" s="13">
        <v>1206</v>
      </c>
      <c r="B1376" s="13">
        <v>250981</v>
      </c>
      <c r="C1376" s="14">
        <v>44746</v>
      </c>
      <c r="D1376" s="15">
        <v>3</v>
      </c>
      <c r="E1376" t="str">
        <f t="shared" si="21"/>
        <v>1206-250981-44746</v>
      </c>
    </row>
    <row r="1377" spans="1:5" ht="14.25" customHeight="1">
      <c r="A1377" s="13">
        <v>1206</v>
      </c>
      <c r="B1377" s="13">
        <v>250981</v>
      </c>
      <c r="C1377" s="14">
        <v>44753</v>
      </c>
      <c r="D1377" s="15">
        <v>3</v>
      </c>
      <c r="E1377" t="str">
        <f t="shared" si="21"/>
        <v>1206-250981-44753</v>
      </c>
    </row>
    <row r="1378" spans="1:5" ht="14.25" customHeight="1">
      <c r="A1378" s="13">
        <v>1206</v>
      </c>
      <c r="B1378" s="13">
        <v>250981</v>
      </c>
      <c r="C1378" s="14">
        <v>44760</v>
      </c>
      <c r="D1378" s="15">
        <v>3</v>
      </c>
      <c r="E1378" t="str">
        <f t="shared" si="21"/>
        <v>1206-250981-44760</v>
      </c>
    </row>
    <row r="1379" spans="1:5" ht="14.25" customHeight="1">
      <c r="A1379" s="13">
        <v>1206</v>
      </c>
      <c r="B1379" s="13">
        <v>250981</v>
      </c>
      <c r="C1379" s="14">
        <v>44767</v>
      </c>
      <c r="D1379" s="15">
        <v>3</v>
      </c>
      <c r="E1379" t="str">
        <f t="shared" si="21"/>
        <v>1206-250981-44767</v>
      </c>
    </row>
    <row r="1380" spans="1:5" ht="14.25" customHeight="1">
      <c r="A1380" s="13">
        <v>1206</v>
      </c>
      <c r="B1380" s="13">
        <v>250981</v>
      </c>
      <c r="C1380" s="14">
        <v>44774</v>
      </c>
      <c r="D1380" s="15">
        <v>3</v>
      </c>
      <c r="E1380" t="str">
        <f t="shared" si="21"/>
        <v>1206-250981-44774</v>
      </c>
    </row>
    <row r="1381" spans="1:5" ht="14.25" customHeight="1">
      <c r="A1381" s="13">
        <v>1206</v>
      </c>
      <c r="B1381" s="13">
        <v>250981</v>
      </c>
      <c r="C1381" s="14">
        <v>44781</v>
      </c>
      <c r="D1381" s="15">
        <v>3</v>
      </c>
      <c r="E1381" t="str">
        <f t="shared" si="21"/>
        <v>1206-250981-44781</v>
      </c>
    </row>
    <row r="1382" spans="1:5" ht="14.25" customHeight="1">
      <c r="A1382" s="13">
        <v>1206</v>
      </c>
      <c r="B1382" s="13">
        <v>250981</v>
      </c>
      <c r="C1382" s="14">
        <v>44788</v>
      </c>
      <c r="D1382" s="15">
        <v>3</v>
      </c>
      <c r="E1382" t="str">
        <f t="shared" si="21"/>
        <v>1206-250981-44788</v>
      </c>
    </row>
    <row r="1383" spans="1:5" ht="14.25" customHeight="1">
      <c r="A1383" s="13">
        <v>1206</v>
      </c>
      <c r="B1383" s="13">
        <v>262294</v>
      </c>
      <c r="C1383" s="14">
        <v>44739</v>
      </c>
      <c r="D1383" s="15">
        <v>57</v>
      </c>
      <c r="E1383" t="str">
        <f t="shared" si="21"/>
        <v>1206-262294-44739</v>
      </c>
    </row>
    <row r="1384" spans="1:5" ht="14.25" customHeight="1">
      <c r="A1384" s="13">
        <v>1206</v>
      </c>
      <c r="B1384" s="13">
        <v>262294</v>
      </c>
      <c r="C1384" s="14">
        <v>44746</v>
      </c>
      <c r="D1384" s="15">
        <v>57</v>
      </c>
      <c r="E1384" t="str">
        <f t="shared" si="21"/>
        <v>1206-262294-44746</v>
      </c>
    </row>
    <row r="1385" spans="1:5" ht="14.25" customHeight="1">
      <c r="A1385" s="13">
        <v>1206</v>
      </c>
      <c r="B1385" s="13">
        <v>262294</v>
      </c>
      <c r="C1385" s="14">
        <v>44753</v>
      </c>
      <c r="D1385" s="15">
        <v>54</v>
      </c>
      <c r="E1385" t="str">
        <f t="shared" si="21"/>
        <v>1206-262294-44753</v>
      </c>
    </row>
    <row r="1386" spans="1:5" ht="14.25" customHeight="1">
      <c r="A1386" s="13">
        <v>1206</v>
      </c>
      <c r="B1386" s="13">
        <v>262294</v>
      </c>
      <c r="C1386" s="14">
        <v>44760</v>
      </c>
      <c r="D1386" s="15">
        <v>62</v>
      </c>
      <c r="E1386" t="str">
        <f t="shared" si="21"/>
        <v>1206-262294-44760</v>
      </c>
    </row>
    <row r="1387" spans="1:5" ht="14.25" customHeight="1">
      <c r="A1387" s="13">
        <v>1206</v>
      </c>
      <c r="B1387" s="13">
        <v>262294</v>
      </c>
      <c r="C1387" s="14">
        <v>44767</v>
      </c>
      <c r="D1387" s="15">
        <v>72</v>
      </c>
      <c r="E1387" t="str">
        <f t="shared" si="21"/>
        <v>1206-262294-44767</v>
      </c>
    </row>
    <row r="1388" spans="1:5" ht="14.25" customHeight="1">
      <c r="A1388" s="13">
        <v>1206</v>
      </c>
      <c r="B1388" s="13">
        <v>262294</v>
      </c>
      <c r="C1388" s="14">
        <v>44774</v>
      </c>
      <c r="D1388" s="15">
        <v>15</v>
      </c>
      <c r="E1388" t="str">
        <f t="shared" si="21"/>
        <v>1206-262294-44774</v>
      </c>
    </row>
    <row r="1389" spans="1:5" ht="14.25" customHeight="1">
      <c r="A1389" s="13">
        <v>1206</v>
      </c>
      <c r="B1389" s="13">
        <v>262294</v>
      </c>
      <c r="C1389" s="14">
        <v>44781</v>
      </c>
      <c r="D1389" s="15">
        <v>22</v>
      </c>
      <c r="E1389" t="str">
        <f t="shared" si="21"/>
        <v>1206-262294-44781</v>
      </c>
    </row>
    <row r="1390" spans="1:5" ht="14.25" customHeight="1">
      <c r="A1390" s="13">
        <v>1206</v>
      </c>
      <c r="B1390" s="13">
        <v>262294</v>
      </c>
      <c r="C1390" s="14">
        <v>44788</v>
      </c>
      <c r="D1390" s="15">
        <v>57</v>
      </c>
      <c r="E1390" t="str">
        <f t="shared" si="21"/>
        <v>1206-262294-44788</v>
      </c>
    </row>
    <row r="1391" spans="1:5" ht="14.25" customHeight="1">
      <c r="A1391" s="13">
        <v>1206</v>
      </c>
      <c r="B1391" s="13">
        <v>268831</v>
      </c>
      <c r="C1391" s="14">
        <v>44739</v>
      </c>
      <c r="D1391" s="15">
        <v>59</v>
      </c>
      <c r="E1391" t="str">
        <f t="shared" si="21"/>
        <v>1206-268831-44739</v>
      </c>
    </row>
    <row r="1392" spans="1:5" ht="14.25" customHeight="1">
      <c r="A1392" s="13">
        <v>1206</v>
      </c>
      <c r="B1392" s="13">
        <v>268831</v>
      </c>
      <c r="C1392" s="14">
        <v>44746</v>
      </c>
      <c r="D1392" s="15">
        <v>58</v>
      </c>
      <c r="E1392" t="str">
        <f t="shared" si="21"/>
        <v>1206-268831-44746</v>
      </c>
    </row>
    <row r="1393" spans="1:5" ht="14.25" customHeight="1">
      <c r="A1393" s="13">
        <v>1206</v>
      </c>
      <c r="B1393" s="13">
        <v>268831</v>
      </c>
      <c r="C1393" s="14">
        <v>44753</v>
      </c>
      <c r="D1393" s="15">
        <v>258</v>
      </c>
      <c r="E1393" t="str">
        <f t="shared" si="21"/>
        <v>1206-268831-44753</v>
      </c>
    </row>
    <row r="1394" spans="1:5" ht="14.25" customHeight="1">
      <c r="A1394" s="13">
        <v>1206</v>
      </c>
      <c r="B1394" s="13">
        <v>268831</v>
      </c>
      <c r="C1394" s="14">
        <v>44760</v>
      </c>
      <c r="D1394" s="15">
        <v>248</v>
      </c>
      <c r="E1394" t="str">
        <f t="shared" si="21"/>
        <v>1206-268831-44760</v>
      </c>
    </row>
    <row r="1395" spans="1:5" ht="14.25" customHeight="1">
      <c r="A1395" s="13">
        <v>1206</v>
      </c>
      <c r="B1395" s="13">
        <v>268831</v>
      </c>
      <c r="C1395" s="14">
        <v>44767</v>
      </c>
      <c r="D1395" s="15">
        <v>220</v>
      </c>
      <c r="E1395" t="str">
        <f t="shared" si="21"/>
        <v>1206-268831-44767</v>
      </c>
    </row>
    <row r="1396" spans="1:5" ht="14.25" customHeight="1">
      <c r="A1396" s="13">
        <v>1206</v>
      </c>
      <c r="B1396" s="13">
        <v>268831</v>
      </c>
      <c r="C1396" s="14">
        <v>44774</v>
      </c>
      <c r="D1396" s="15">
        <v>204</v>
      </c>
      <c r="E1396" t="str">
        <f t="shared" si="21"/>
        <v>1206-268831-44774</v>
      </c>
    </row>
    <row r="1397" spans="1:5" ht="14.25" customHeight="1">
      <c r="A1397" s="13">
        <v>1206</v>
      </c>
      <c r="B1397" s="13">
        <v>268831</v>
      </c>
      <c r="C1397" s="14">
        <v>44781</v>
      </c>
      <c r="D1397" s="15">
        <v>61</v>
      </c>
      <c r="E1397" t="str">
        <f t="shared" si="21"/>
        <v>1206-268831-44781</v>
      </c>
    </row>
    <row r="1398" spans="1:5" ht="14.25" customHeight="1">
      <c r="A1398" s="13">
        <v>1206</v>
      </c>
      <c r="B1398" s="13">
        <v>268831</v>
      </c>
      <c r="C1398" s="14">
        <v>44788</v>
      </c>
      <c r="D1398" s="15">
        <v>246</v>
      </c>
      <c r="E1398" t="str">
        <f t="shared" si="21"/>
        <v>1206-268831-44788</v>
      </c>
    </row>
    <row r="1399" spans="1:5" ht="14.25" customHeight="1">
      <c r="A1399" s="13">
        <v>1206</v>
      </c>
      <c r="B1399" s="13">
        <v>273701</v>
      </c>
      <c r="C1399" s="14">
        <v>44739</v>
      </c>
      <c r="D1399" s="15">
        <v>162</v>
      </c>
      <c r="E1399" t="str">
        <f t="shared" si="21"/>
        <v>1206-273701-44739</v>
      </c>
    </row>
    <row r="1400" spans="1:5" ht="14.25" customHeight="1">
      <c r="A1400" s="13">
        <v>1206</v>
      </c>
      <c r="B1400" s="13">
        <v>273701</v>
      </c>
      <c r="C1400" s="14">
        <v>44746</v>
      </c>
      <c r="D1400" s="15">
        <v>78</v>
      </c>
      <c r="E1400" t="str">
        <f t="shared" si="21"/>
        <v>1206-273701-44746</v>
      </c>
    </row>
    <row r="1401" spans="1:5" ht="14.25" customHeight="1">
      <c r="A1401" s="13">
        <v>1206</v>
      </c>
      <c r="B1401" s="13">
        <v>273701</v>
      </c>
      <c r="C1401" s="14">
        <v>44753</v>
      </c>
      <c r="D1401" s="15">
        <v>224</v>
      </c>
      <c r="E1401" t="str">
        <f t="shared" si="21"/>
        <v>1206-273701-44753</v>
      </c>
    </row>
    <row r="1402" spans="1:5" ht="14.25" customHeight="1">
      <c r="A1402" s="13">
        <v>1206</v>
      </c>
      <c r="B1402" s="13">
        <v>273701</v>
      </c>
      <c r="C1402" s="14">
        <v>44760</v>
      </c>
      <c r="D1402" s="15">
        <v>81</v>
      </c>
      <c r="E1402" t="str">
        <f t="shared" si="21"/>
        <v>1206-273701-44760</v>
      </c>
    </row>
    <row r="1403" spans="1:5" ht="14.25" customHeight="1">
      <c r="A1403" s="13">
        <v>1206</v>
      </c>
      <c r="B1403" s="13">
        <v>273701</v>
      </c>
      <c r="C1403" s="14">
        <v>44767</v>
      </c>
      <c r="D1403" s="15">
        <v>158</v>
      </c>
      <c r="E1403" t="str">
        <f t="shared" si="21"/>
        <v>1206-273701-44767</v>
      </c>
    </row>
    <row r="1404" spans="1:5" ht="14.25" customHeight="1">
      <c r="A1404" s="13">
        <v>1206</v>
      </c>
      <c r="B1404" s="13">
        <v>273701</v>
      </c>
      <c r="C1404" s="14">
        <v>44774</v>
      </c>
      <c r="D1404" s="15">
        <v>189</v>
      </c>
      <c r="E1404" t="str">
        <f t="shared" si="21"/>
        <v>1206-273701-44774</v>
      </c>
    </row>
    <row r="1405" spans="1:5" ht="14.25" customHeight="1">
      <c r="A1405" s="13">
        <v>1206</v>
      </c>
      <c r="B1405" s="13">
        <v>273701</v>
      </c>
      <c r="C1405" s="14">
        <v>44781</v>
      </c>
      <c r="D1405" s="15">
        <v>221</v>
      </c>
      <c r="E1405" t="str">
        <f t="shared" si="21"/>
        <v>1206-273701-44781</v>
      </c>
    </row>
    <row r="1406" spans="1:5" ht="14.25" customHeight="1">
      <c r="A1406" s="13">
        <v>1206</v>
      </c>
      <c r="B1406" s="13">
        <v>273701</v>
      </c>
      <c r="C1406" s="14">
        <v>44788</v>
      </c>
      <c r="D1406" s="15">
        <v>104</v>
      </c>
      <c r="E1406" t="str">
        <f t="shared" si="21"/>
        <v>1206-273701-44788</v>
      </c>
    </row>
    <row r="1407" spans="1:5" ht="14.25" customHeight="1">
      <c r="A1407" s="13">
        <v>1206</v>
      </c>
      <c r="B1407" s="13">
        <v>291726</v>
      </c>
      <c r="C1407" s="14">
        <v>44739</v>
      </c>
      <c r="D1407" s="15">
        <v>20</v>
      </c>
      <c r="E1407" t="str">
        <f t="shared" si="21"/>
        <v>1206-291726-44739</v>
      </c>
    </row>
    <row r="1408" spans="1:5" ht="14.25" customHeight="1">
      <c r="A1408" s="13">
        <v>1206</v>
      </c>
      <c r="B1408" s="13">
        <v>291726</v>
      </c>
      <c r="C1408" s="14">
        <v>44746</v>
      </c>
      <c r="D1408" s="15">
        <v>47</v>
      </c>
      <c r="E1408" t="str">
        <f t="shared" si="21"/>
        <v>1206-291726-44746</v>
      </c>
    </row>
    <row r="1409" spans="1:5" ht="14.25" customHeight="1">
      <c r="A1409" s="13">
        <v>1206</v>
      </c>
      <c r="B1409" s="13">
        <v>291726</v>
      </c>
      <c r="C1409" s="14">
        <v>44753</v>
      </c>
      <c r="D1409" s="15">
        <v>20</v>
      </c>
      <c r="E1409" t="str">
        <f t="shared" si="21"/>
        <v>1206-291726-44753</v>
      </c>
    </row>
    <row r="1410" spans="1:5" ht="14.25" customHeight="1">
      <c r="A1410" s="13">
        <v>1206</v>
      </c>
      <c r="B1410" s="13">
        <v>291726</v>
      </c>
      <c r="C1410" s="14">
        <v>44760</v>
      </c>
      <c r="D1410" s="15">
        <v>25</v>
      </c>
      <c r="E1410" t="str">
        <f t="shared" si="21"/>
        <v>1206-291726-44760</v>
      </c>
    </row>
    <row r="1411" spans="1:5" ht="14.25" customHeight="1">
      <c r="A1411" s="13">
        <v>1206</v>
      </c>
      <c r="B1411" s="13">
        <v>291726</v>
      </c>
      <c r="C1411" s="14">
        <v>44767</v>
      </c>
      <c r="D1411" s="15">
        <v>15</v>
      </c>
      <c r="E1411" t="str">
        <f t="shared" ref="E1411:E1474" si="22">A1411&amp;"-"&amp;B1411&amp;"-"&amp;INT(C1411)</f>
        <v>1206-291726-44767</v>
      </c>
    </row>
    <row r="1412" spans="1:5" ht="14.25" customHeight="1">
      <c r="A1412" s="13">
        <v>1206</v>
      </c>
      <c r="B1412" s="13">
        <v>291726</v>
      </c>
      <c r="C1412" s="14">
        <v>44774</v>
      </c>
      <c r="D1412" s="15">
        <v>66</v>
      </c>
      <c r="E1412" t="str">
        <f t="shared" si="22"/>
        <v>1206-291726-44774</v>
      </c>
    </row>
    <row r="1413" spans="1:5" ht="14.25" customHeight="1">
      <c r="A1413" s="13">
        <v>1206</v>
      </c>
      <c r="B1413" s="13">
        <v>291726</v>
      </c>
      <c r="C1413" s="14">
        <v>44781</v>
      </c>
      <c r="D1413" s="15">
        <v>54</v>
      </c>
      <c r="E1413" t="str">
        <f t="shared" si="22"/>
        <v>1206-291726-44781</v>
      </c>
    </row>
    <row r="1414" spans="1:5" ht="14.25" customHeight="1">
      <c r="A1414" s="13">
        <v>1206</v>
      </c>
      <c r="B1414" s="13">
        <v>291726</v>
      </c>
      <c r="C1414" s="14">
        <v>44788</v>
      </c>
      <c r="D1414" s="15">
        <v>64</v>
      </c>
      <c r="E1414" t="str">
        <f t="shared" si="22"/>
        <v>1206-291726-44788</v>
      </c>
    </row>
    <row r="1415" spans="1:5" ht="14.25" customHeight="1">
      <c r="A1415" s="13">
        <v>1206</v>
      </c>
      <c r="B1415" s="13">
        <v>291728</v>
      </c>
      <c r="C1415" s="14">
        <v>44739</v>
      </c>
      <c r="D1415" s="15">
        <v>43</v>
      </c>
      <c r="E1415" t="str">
        <f t="shared" si="22"/>
        <v>1206-291728-44739</v>
      </c>
    </row>
    <row r="1416" spans="1:5" ht="14.25" customHeight="1">
      <c r="A1416" s="13">
        <v>1206</v>
      </c>
      <c r="B1416" s="13">
        <v>291728</v>
      </c>
      <c r="C1416" s="14">
        <v>44746</v>
      </c>
      <c r="D1416" s="15">
        <v>60</v>
      </c>
      <c r="E1416" t="str">
        <f t="shared" si="22"/>
        <v>1206-291728-44746</v>
      </c>
    </row>
    <row r="1417" spans="1:5" ht="14.25" customHeight="1">
      <c r="A1417" s="13">
        <v>1206</v>
      </c>
      <c r="B1417" s="13">
        <v>291728</v>
      </c>
      <c r="C1417" s="14">
        <v>44753</v>
      </c>
      <c r="D1417" s="15">
        <v>15</v>
      </c>
      <c r="E1417" t="str">
        <f t="shared" si="22"/>
        <v>1206-291728-44753</v>
      </c>
    </row>
    <row r="1418" spans="1:5" ht="14.25" customHeight="1">
      <c r="A1418" s="13">
        <v>1206</v>
      </c>
      <c r="B1418" s="13">
        <v>291728</v>
      </c>
      <c r="C1418" s="14">
        <v>44760</v>
      </c>
      <c r="D1418" s="15">
        <v>36</v>
      </c>
      <c r="E1418" t="str">
        <f t="shared" si="22"/>
        <v>1206-291728-44760</v>
      </c>
    </row>
    <row r="1419" spans="1:5" ht="14.25" customHeight="1">
      <c r="A1419" s="13">
        <v>1206</v>
      </c>
      <c r="B1419" s="13">
        <v>291728</v>
      </c>
      <c r="C1419" s="14">
        <v>44767</v>
      </c>
      <c r="D1419" s="15">
        <v>8</v>
      </c>
      <c r="E1419" t="str">
        <f t="shared" si="22"/>
        <v>1206-291728-44767</v>
      </c>
    </row>
    <row r="1420" spans="1:5" ht="14.25" customHeight="1">
      <c r="A1420" s="13">
        <v>1206</v>
      </c>
      <c r="B1420" s="13">
        <v>291728</v>
      </c>
      <c r="C1420" s="14">
        <v>44774</v>
      </c>
      <c r="D1420" s="15">
        <v>56</v>
      </c>
      <c r="E1420" t="str">
        <f t="shared" si="22"/>
        <v>1206-291728-44774</v>
      </c>
    </row>
    <row r="1421" spans="1:5" ht="14.25" customHeight="1">
      <c r="A1421" s="13">
        <v>1206</v>
      </c>
      <c r="B1421" s="13">
        <v>291728</v>
      </c>
      <c r="C1421" s="14">
        <v>44781</v>
      </c>
      <c r="D1421" s="15">
        <v>35</v>
      </c>
      <c r="E1421" t="str">
        <f t="shared" si="22"/>
        <v>1206-291728-44781</v>
      </c>
    </row>
    <row r="1422" spans="1:5" ht="14.25" customHeight="1">
      <c r="A1422" s="13">
        <v>1206</v>
      </c>
      <c r="B1422" s="13">
        <v>291728</v>
      </c>
      <c r="C1422" s="14">
        <v>44788</v>
      </c>
      <c r="D1422" s="15">
        <v>39</v>
      </c>
      <c r="E1422" t="str">
        <f t="shared" si="22"/>
        <v>1206-291728-44788</v>
      </c>
    </row>
    <row r="1423" spans="1:5" ht="14.25" customHeight="1">
      <c r="A1423" s="16">
        <v>1206</v>
      </c>
      <c r="B1423" s="13">
        <v>300380</v>
      </c>
      <c r="C1423" s="14">
        <v>44739</v>
      </c>
      <c r="D1423" s="15">
        <v>80</v>
      </c>
      <c r="E1423" t="str">
        <f t="shared" si="22"/>
        <v>1206-300380-44739</v>
      </c>
    </row>
    <row r="1424" spans="1:5" ht="14.25" customHeight="1">
      <c r="A1424" s="13">
        <v>1206</v>
      </c>
      <c r="B1424" s="13">
        <v>300380</v>
      </c>
      <c r="C1424" s="14">
        <v>44746</v>
      </c>
      <c r="D1424" s="15">
        <v>66</v>
      </c>
      <c r="E1424" t="str">
        <f t="shared" si="22"/>
        <v>1206-300380-44746</v>
      </c>
    </row>
    <row r="1425" spans="1:5" ht="14.25" customHeight="1">
      <c r="A1425" s="13">
        <v>1206</v>
      </c>
      <c r="B1425" s="13">
        <v>300380</v>
      </c>
      <c r="C1425" s="14">
        <v>44753</v>
      </c>
      <c r="D1425" s="15">
        <v>71</v>
      </c>
      <c r="E1425" t="str">
        <f t="shared" si="22"/>
        <v>1206-300380-44753</v>
      </c>
    </row>
    <row r="1426" spans="1:5" ht="14.25" customHeight="1">
      <c r="A1426" s="13">
        <v>1206</v>
      </c>
      <c r="B1426" s="13">
        <v>300380</v>
      </c>
      <c r="C1426" s="14">
        <v>44760</v>
      </c>
      <c r="D1426" s="15">
        <v>76</v>
      </c>
      <c r="E1426" t="str">
        <f t="shared" si="22"/>
        <v>1206-300380-44760</v>
      </c>
    </row>
    <row r="1427" spans="1:5" ht="14.25" customHeight="1">
      <c r="A1427" s="13">
        <v>1206</v>
      </c>
      <c r="B1427" s="13">
        <v>300380</v>
      </c>
      <c r="C1427" s="14">
        <v>44767</v>
      </c>
      <c r="D1427" s="15">
        <v>55</v>
      </c>
      <c r="E1427" t="str">
        <f t="shared" si="22"/>
        <v>1206-300380-44767</v>
      </c>
    </row>
    <row r="1428" spans="1:5" ht="14.25" customHeight="1">
      <c r="A1428" s="13">
        <v>1206</v>
      </c>
      <c r="B1428" s="13">
        <v>300380</v>
      </c>
      <c r="C1428" s="14">
        <v>44774</v>
      </c>
      <c r="D1428" s="15">
        <v>54</v>
      </c>
      <c r="E1428" t="str">
        <f t="shared" si="22"/>
        <v>1206-300380-44774</v>
      </c>
    </row>
    <row r="1429" spans="1:5" ht="14.25" customHeight="1">
      <c r="A1429" s="13">
        <v>1206</v>
      </c>
      <c r="B1429" s="13">
        <v>300380</v>
      </c>
      <c r="C1429" s="14">
        <v>44781</v>
      </c>
      <c r="D1429" s="15">
        <v>28</v>
      </c>
      <c r="E1429" t="str">
        <f t="shared" si="22"/>
        <v>1206-300380-44781</v>
      </c>
    </row>
    <row r="1430" spans="1:5" ht="14.25" customHeight="1">
      <c r="A1430" s="13">
        <v>1206</v>
      </c>
      <c r="B1430" s="13">
        <v>300380</v>
      </c>
      <c r="C1430" s="14">
        <v>44788</v>
      </c>
      <c r="D1430" s="15">
        <v>67</v>
      </c>
      <c r="E1430" t="str">
        <f t="shared" si="22"/>
        <v>1206-300380-44788</v>
      </c>
    </row>
    <row r="1431" spans="1:5" ht="14.25" customHeight="1">
      <c r="A1431" s="13">
        <v>1206</v>
      </c>
      <c r="B1431" s="13">
        <v>571521</v>
      </c>
      <c r="C1431" s="14">
        <v>44739</v>
      </c>
      <c r="D1431" s="15">
        <v>158</v>
      </c>
      <c r="E1431" t="str">
        <f t="shared" si="22"/>
        <v>1206-571521-44739</v>
      </c>
    </row>
    <row r="1432" spans="1:5" ht="14.25" customHeight="1">
      <c r="A1432" s="13">
        <v>1206</v>
      </c>
      <c r="B1432" s="13">
        <v>571521</v>
      </c>
      <c r="C1432" s="14">
        <v>44746</v>
      </c>
      <c r="D1432" s="15">
        <v>187</v>
      </c>
      <c r="E1432" t="str">
        <f t="shared" si="22"/>
        <v>1206-571521-44746</v>
      </c>
    </row>
    <row r="1433" spans="1:5" ht="14.25" customHeight="1">
      <c r="A1433" s="13">
        <v>1206</v>
      </c>
      <c r="B1433" s="13">
        <v>571521</v>
      </c>
      <c r="C1433" s="14">
        <v>44753</v>
      </c>
      <c r="D1433" s="15">
        <v>50</v>
      </c>
      <c r="E1433" t="str">
        <f t="shared" si="22"/>
        <v>1206-571521-44753</v>
      </c>
    </row>
    <row r="1434" spans="1:5" ht="14.25" customHeight="1">
      <c r="A1434" s="13">
        <v>1206</v>
      </c>
      <c r="B1434" s="13">
        <v>571521</v>
      </c>
      <c r="C1434" s="14">
        <v>44760</v>
      </c>
      <c r="D1434" s="15">
        <v>27</v>
      </c>
      <c r="E1434" t="str">
        <f t="shared" si="22"/>
        <v>1206-571521-44760</v>
      </c>
    </row>
    <row r="1435" spans="1:5" ht="14.25" customHeight="1">
      <c r="A1435" s="13">
        <v>1206</v>
      </c>
      <c r="B1435" s="13">
        <v>571521</v>
      </c>
      <c r="C1435" s="14">
        <v>44767</v>
      </c>
      <c r="D1435" s="15">
        <v>172</v>
      </c>
      <c r="E1435" t="str">
        <f t="shared" si="22"/>
        <v>1206-571521-44767</v>
      </c>
    </row>
    <row r="1436" spans="1:5" ht="14.25" customHeight="1">
      <c r="A1436" s="13">
        <v>1206</v>
      </c>
      <c r="B1436" s="13">
        <v>571521</v>
      </c>
      <c r="C1436" s="14">
        <v>44774</v>
      </c>
      <c r="D1436" s="15">
        <v>24</v>
      </c>
      <c r="E1436" t="str">
        <f t="shared" si="22"/>
        <v>1206-571521-44774</v>
      </c>
    </row>
    <row r="1437" spans="1:5" ht="14.25" customHeight="1">
      <c r="A1437" s="13">
        <v>1206</v>
      </c>
      <c r="B1437" s="13">
        <v>571521</v>
      </c>
      <c r="C1437" s="14">
        <v>44781</v>
      </c>
      <c r="D1437" s="15">
        <v>143</v>
      </c>
      <c r="E1437" t="str">
        <f t="shared" si="22"/>
        <v>1206-571521-44781</v>
      </c>
    </row>
    <row r="1438" spans="1:5" ht="14.25" customHeight="1">
      <c r="A1438" s="13">
        <v>1206</v>
      </c>
      <c r="B1438" s="13">
        <v>571521</v>
      </c>
      <c r="C1438" s="14">
        <v>44788</v>
      </c>
      <c r="D1438" s="15">
        <v>25</v>
      </c>
      <c r="E1438" t="str">
        <f t="shared" si="22"/>
        <v>1206-571521-44788</v>
      </c>
    </row>
    <row r="1439" spans="1:5" ht="14.25" customHeight="1">
      <c r="A1439" s="13">
        <v>1206</v>
      </c>
      <c r="B1439" s="13">
        <v>614993</v>
      </c>
      <c r="C1439" s="14">
        <v>44739</v>
      </c>
      <c r="D1439" s="15">
        <v>56</v>
      </c>
      <c r="E1439" t="str">
        <f t="shared" si="22"/>
        <v>1206-614993-44739</v>
      </c>
    </row>
    <row r="1440" spans="1:5" ht="14.25" customHeight="1">
      <c r="A1440" s="13">
        <v>1206</v>
      </c>
      <c r="B1440" s="13">
        <v>614993</v>
      </c>
      <c r="C1440" s="14">
        <v>44746</v>
      </c>
      <c r="D1440" s="15">
        <v>42</v>
      </c>
      <c r="E1440" t="str">
        <f t="shared" si="22"/>
        <v>1206-614993-44746</v>
      </c>
    </row>
    <row r="1441" spans="1:5" ht="14.25" customHeight="1">
      <c r="A1441" s="13">
        <v>1206</v>
      </c>
      <c r="B1441" s="13">
        <v>614993</v>
      </c>
      <c r="C1441" s="14">
        <v>44753</v>
      </c>
      <c r="D1441" s="15">
        <v>24</v>
      </c>
      <c r="E1441" t="str">
        <f t="shared" si="22"/>
        <v>1206-614993-44753</v>
      </c>
    </row>
    <row r="1442" spans="1:5" ht="14.25" customHeight="1">
      <c r="A1442" s="13">
        <v>1206</v>
      </c>
      <c r="B1442" s="13">
        <v>614993</v>
      </c>
      <c r="C1442" s="14">
        <v>44760</v>
      </c>
      <c r="D1442" s="15">
        <v>51</v>
      </c>
      <c r="E1442" t="str">
        <f t="shared" si="22"/>
        <v>1206-614993-44760</v>
      </c>
    </row>
    <row r="1443" spans="1:5" ht="14.25" customHeight="1">
      <c r="A1443" s="13">
        <v>1206</v>
      </c>
      <c r="B1443" s="13">
        <v>614993</v>
      </c>
      <c r="C1443" s="14">
        <v>44767</v>
      </c>
      <c r="D1443" s="15">
        <v>50</v>
      </c>
      <c r="E1443" t="str">
        <f t="shared" si="22"/>
        <v>1206-614993-44767</v>
      </c>
    </row>
    <row r="1444" spans="1:5" ht="14.25" customHeight="1">
      <c r="A1444" s="13">
        <v>1206</v>
      </c>
      <c r="B1444" s="13">
        <v>614993</v>
      </c>
      <c r="C1444" s="14">
        <v>44774</v>
      </c>
      <c r="D1444" s="15">
        <v>18</v>
      </c>
      <c r="E1444" t="str">
        <f t="shared" si="22"/>
        <v>1206-614993-44774</v>
      </c>
    </row>
    <row r="1445" spans="1:5" ht="14.25" customHeight="1">
      <c r="A1445" s="13">
        <v>1206</v>
      </c>
      <c r="B1445" s="13">
        <v>614993</v>
      </c>
      <c r="C1445" s="14">
        <v>44781</v>
      </c>
      <c r="D1445" s="15">
        <v>50</v>
      </c>
      <c r="E1445" t="str">
        <f t="shared" si="22"/>
        <v>1206-614993-44781</v>
      </c>
    </row>
    <row r="1446" spans="1:5" ht="14.25" customHeight="1">
      <c r="A1446" s="13">
        <v>1206</v>
      </c>
      <c r="B1446" s="13">
        <v>614993</v>
      </c>
      <c r="C1446" s="14">
        <v>44788</v>
      </c>
      <c r="D1446" s="15">
        <v>48</v>
      </c>
      <c r="E1446" t="str">
        <f t="shared" si="22"/>
        <v>1206-614993-44788</v>
      </c>
    </row>
    <row r="1447" spans="1:5" ht="14.25" customHeight="1">
      <c r="A1447" s="13">
        <v>1207</v>
      </c>
      <c r="B1447" s="13">
        <v>23393</v>
      </c>
      <c r="C1447" s="14">
        <v>32874</v>
      </c>
      <c r="D1447" s="15">
        <v>526</v>
      </c>
      <c r="E1447" t="str">
        <f t="shared" si="22"/>
        <v>1207-23393-32874</v>
      </c>
    </row>
    <row r="1448" spans="1:5" ht="14.25" customHeight="1">
      <c r="A1448" s="13">
        <v>1207</v>
      </c>
      <c r="B1448" s="13">
        <v>23393</v>
      </c>
      <c r="C1448" s="14">
        <v>44739</v>
      </c>
      <c r="D1448" s="15">
        <v>939</v>
      </c>
      <c r="E1448" t="str">
        <f t="shared" si="22"/>
        <v>1207-23393-44739</v>
      </c>
    </row>
    <row r="1449" spans="1:5" ht="14.25" customHeight="1">
      <c r="A1449" s="13">
        <v>1207</v>
      </c>
      <c r="B1449" s="13">
        <v>23393</v>
      </c>
      <c r="C1449" s="14">
        <v>44746</v>
      </c>
      <c r="D1449" s="15">
        <v>897</v>
      </c>
      <c r="E1449" t="str">
        <f t="shared" si="22"/>
        <v>1207-23393-44746</v>
      </c>
    </row>
    <row r="1450" spans="1:5" ht="14.25" customHeight="1">
      <c r="A1450" s="13">
        <v>1207</v>
      </c>
      <c r="B1450" s="13">
        <v>23393</v>
      </c>
      <c r="C1450" s="14">
        <v>44753</v>
      </c>
      <c r="D1450" s="15">
        <v>816</v>
      </c>
      <c r="E1450" t="str">
        <f t="shared" si="22"/>
        <v>1207-23393-44753</v>
      </c>
    </row>
    <row r="1451" spans="1:5" ht="14.25" customHeight="1">
      <c r="A1451" s="13">
        <v>1207</v>
      </c>
      <c r="B1451" s="13">
        <v>23393</v>
      </c>
      <c r="C1451" s="14">
        <v>44760</v>
      </c>
      <c r="D1451" s="15">
        <v>527</v>
      </c>
      <c r="E1451" t="str">
        <f t="shared" si="22"/>
        <v>1207-23393-44760</v>
      </c>
    </row>
    <row r="1452" spans="1:5" ht="14.25" customHeight="1">
      <c r="A1452" s="13">
        <v>1207</v>
      </c>
      <c r="B1452" s="13">
        <v>23393</v>
      </c>
      <c r="C1452" s="14">
        <v>44767</v>
      </c>
      <c r="D1452" s="15">
        <v>1118</v>
      </c>
      <c r="E1452" t="str">
        <f t="shared" si="22"/>
        <v>1207-23393-44767</v>
      </c>
    </row>
    <row r="1453" spans="1:5" ht="14.25" customHeight="1">
      <c r="A1453" s="13">
        <v>1207</v>
      </c>
      <c r="B1453" s="13">
        <v>23393</v>
      </c>
      <c r="C1453" s="14">
        <v>44774</v>
      </c>
      <c r="D1453" s="15">
        <v>1073</v>
      </c>
      <c r="E1453" t="str">
        <f t="shared" si="22"/>
        <v>1207-23393-44774</v>
      </c>
    </row>
    <row r="1454" spans="1:5" ht="14.25" customHeight="1">
      <c r="A1454" s="13">
        <v>1207</v>
      </c>
      <c r="B1454" s="13">
        <v>23393</v>
      </c>
      <c r="C1454" s="14">
        <v>44781</v>
      </c>
      <c r="D1454" s="15">
        <v>938</v>
      </c>
      <c r="E1454" t="str">
        <f t="shared" si="22"/>
        <v>1207-23393-44781</v>
      </c>
    </row>
    <row r="1455" spans="1:5" ht="14.25" customHeight="1">
      <c r="A1455" s="13">
        <v>1207</v>
      </c>
      <c r="B1455" s="13">
        <v>23393</v>
      </c>
      <c r="C1455" s="14">
        <v>44788</v>
      </c>
      <c r="D1455" s="15">
        <v>816</v>
      </c>
      <c r="E1455" t="str">
        <f t="shared" si="22"/>
        <v>1207-23393-44788</v>
      </c>
    </row>
    <row r="1456" spans="1:5" ht="14.25" customHeight="1">
      <c r="A1456" s="13">
        <v>1207</v>
      </c>
      <c r="B1456" s="13">
        <v>26764</v>
      </c>
      <c r="C1456" s="14">
        <v>44739</v>
      </c>
      <c r="D1456" s="15">
        <v>154</v>
      </c>
      <c r="E1456" t="str">
        <f t="shared" si="22"/>
        <v>1207-26764-44739</v>
      </c>
    </row>
    <row r="1457" spans="1:5" ht="14.25" customHeight="1">
      <c r="A1457" s="13">
        <v>1207</v>
      </c>
      <c r="B1457" s="13">
        <v>26764</v>
      </c>
      <c r="C1457" s="14">
        <v>44746</v>
      </c>
      <c r="D1457" s="15">
        <v>132</v>
      </c>
      <c r="E1457" t="str">
        <f t="shared" si="22"/>
        <v>1207-26764-44746</v>
      </c>
    </row>
    <row r="1458" spans="1:5" ht="14.25" customHeight="1">
      <c r="A1458" s="13">
        <v>1207</v>
      </c>
      <c r="B1458" s="13">
        <v>26764</v>
      </c>
      <c r="C1458" s="14">
        <v>44753</v>
      </c>
      <c r="D1458" s="15">
        <v>47</v>
      </c>
      <c r="E1458" t="str">
        <f t="shared" si="22"/>
        <v>1207-26764-44753</v>
      </c>
    </row>
    <row r="1459" spans="1:5" ht="14.25" customHeight="1">
      <c r="A1459" s="13">
        <v>1207</v>
      </c>
      <c r="B1459" s="13">
        <v>26764</v>
      </c>
      <c r="C1459" s="14">
        <v>44760</v>
      </c>
      <c r="D1459" s="15">
        <v>92</v>
      </c>
      <c r="E1459" t="str">
        <f t="shared" si="22"/>
        <v>1207-26764-44760</v>
      </c>
    </row>
    <row r="1460" spans="1:5" ht="14.25" customHeight="1">
      <c r="A1460" s="13">
        <v>1207</v>
      </c>
      <c r="B1460" s="13">
        <v>26764</v>
      </c>
      <c r="C1460" s="14">
        <v>44767</v>
      </c>
      <c r="D1460" s="15">
        <v>49</v>
      </c>
      <c r="E1460" t="str">
        <f t="shared" si="22"/>
        <v>1207-26764-44767</v>
      </c>
    </row>
    <row r="1461" spans="1:5" ht="14.25" customHeight="1">
      <c r="A1461" s="13">
        <v>1207</v>
      </c>
      <c r="B1461" s="13">
        <v>26764</v>
      </c>
      <c r="C1461" s="14">
        <v>44774</v>
      </c>
      <c r="D1461" s="15">
        <v>143</v>
      </c>
      <c r="E1461" t="str">
        <f t="shared" si="22"/>
        <v>1207-26764-44774</v>
      </c>
    </row>
    <row r="1462" spans="1:5" ht="14.25" customHeight="1">
      <c r="A1462" s="13">
        <v>1207</v>
      </c>
      <c r="B1462" s="13">
        <v>26764</v>
      </c>
      <c r="C1462" s="14">
        <v>44781</v>
      </c>
      <c r="D1462" s="15">
        <v>51</v>
      </c>
      <c r="E1462" t="str">
        <f t="shared" si="22"/>
        <v>1207-26764-44781</v>
      </c>
    </row>
    <row r="1463" spans="1:5" ht="14.25" customHeight="1">
      <c r="A1463" s="13">
        <v>1207</v>
      </c>
      <c r="B1463" s="13">
        <v>26764</v>
      </c>
      <c r="C1463" s="14">
        <v>44788</v>
      </c>
      <c r="D1463" s="15">
        <v>140</v>
      </c>
      <c r="E1463" t="str">
        <f t="shared" si="22"/>
        <v>1207-26764-44788</v>
      </c>
    </row>
    <row r="1464" spans="1:5" ht="14.25" customHeight="1">
      <c r="A1464" s="13">
        <v>1207</v>
      </c>
      <c r="B1464" s="13">
        <v>53934</v>
      </c>
      <c r="C1464" s="14">
        <v>44739</v>
      </c>
      <c r="D1464" s="15">
        <v>1042</v>
      </c>
      <c r="E1464" t="str">
        <f t="shared" si="22"/>
        <v>1207-53934-44739</v>
      </c>
    </row>
    <row r="1465" spans="1:5" ht="14.25" customHeight="1">
      <c r="A1465" s="13">
        <v>1207</v>
      </c>
      <c r="B1465" s="13">
        <v>53934</v>
      </c>
      <c r="C1465" s="14">
        <v>44746</v>
      </c>
      <c r="D1465" s="15">
        <v>1188</v>
      </c>
      <c r="E1465" t="str">
        <f t="shared" si="22"/>
        <v>1207-53934-44746</v>
      </c>
    </row>
    <row r="1466" spans="1:5" ht="14.25" customHeight="1">
      <c r="A1466" s="13">
        <v>1207</v>
      </c>
      <c r="B1466" s="13">
        <v>53934</v>
      </c>
      <c r="C1466" s="14">
        <v>44753</v>
      </c>
      <c r="D1466" s="15">
        <v>942</v>
      </c>
      <c r="E1466" t="str">
        <f t="shared" si="22"/>
        <v>1207-53934-44753</v>
      </c>
    </row>
    <row r="1467" spans="1:5" ht="14.25" customHeight="1">
      <c r="A1467" s="13">
        <v>1207</v>
      </c>
      <c r="B1467" s="13">
        <v>53934</v>
      </c>
      <c r="C1467" s="14">
        <v>44760</v>
      </c>
      <c r="D1467" s="15">
        <v>1224</v>
      </c>
      <c r="E1467" t="str">
        <f t="shared" si="22"/>
        <v>1207-53934-44760</v>
      </c>
    </row>
    <row r="1468" spans="1:5" ht="14.25" customHeight="1">
      <c r="A1468" s="13">
        <v>1207</v>
      </c>
      <c r="B1468" s="13">
        <v>53934</v>
      </c>
      <c r="C1468" s="14">
        <v>44767</v>
      </c>
      <c r="D1468" s="15">
        <v>377</v>
      </c>
      <c r="E1468" t="str">
        <f t="shared" si="22"/>
        <v>1207-53934-44767</v>
      </c>
    </row>
    <row r="1469" spans="1:5" ht="14.25" customHeight="1">
      <c r="A1469" s="13">
        <v>1207</v>
      </c>
      <c r="B1469" s="13">
        <v>53934</v>
      </c>
      <c r="C1469" s="14">
        <v>44774</v>
      </c>
      <c r="D1469" s="15">
        <v>384</v>
      </c>
      <c r="E1469" t="str">
        <f t="shared" si="22"/>
        <v>1207-53934-44774</v>
      </c>
    </row>
    <row r="1470" spans="1:5" ht="14.25" customHeight="1">
      <c r="A1470" s="13">
        <v>1207</v>
      </c>
      <c r="B1470" s="13">
        <v>53934</v>
      </c>
      <c r="C1470" s="14">
        <v>44781</v>
      </c>
      <c r="D1470" s="15">
        <v>941</v>
      </c>
      <c r="E1470" t="str">
        <f t="shared" si="22"/>
        <v>1207-53934-44781</v>
      </c>
    </row>
    <row r="1471" spans="1:5" ht="14.25" customHeight="1">
      <c r="A1471" s="13">
        <v>1207</v>
      </c>
      <c r="B1471" s="13">
        <v>53934</v>
      </c>
      <c r="C1471" s="14">
        <v>44788</v>
      </c>
      <c r="D1471" s="15">
        <v>380</v>
      </c>
      <c r="E1471" t="str">
        <f t="shared" si="22"/>
        <v>1207-53934-44788</v>
      </c>
    </row>
    <row r="1472" spans="1:5" ht="14.25" customHeight="1">
      <c r="A1472" s="13">
        <v>1207</v>
      </c>
      <c r="B1472" s="13">
        <v>78699</v>
      </c>
      <c r="C1472" s="14">
        <v>44739</v>
      </c>
      <c r="D1472" s="15">
        <v>18</v>
      </c>
      <c r="E1472" t="str">
        <f t="shared" si="22"/>
        <v>1207-78699-44739</v>
      </c>
    </row>
    <row r="1473" spans="1:5" ht="14.25" customHeight="1">
      <c r="A1473" s="13">
        <v>1207</v>
      </c>
      <c r="B1473" s="13">
        <v>78699</v>
      </c>
      <c r="C1473" s="14">
        <v>44746</v>
      </c>
      <c r="D1473" s="15">
        <v>13</v>
      </c>
      <c r="E1473" t="str">
        <f t="shared" si="22"/>
        <v>1207-78699-44746</v>
      </c>
    </row>
    <row r="1474" spans="1:5" ht="14.25" customHeight="1">
      <c r="A1474" s="13">
        <v>1207</v>
      </c>
      <c r="B1474" s="13">
        <v>78699</v>
      </c>
      <c r="C1474" s="14">
        <v>44753</v>
      </c>
      <c r="D1474" s="15">
        <v>15</v>
      </c>
      <c r="E1474" t="str">
        <f t="shared" si="22"/>
        <v>1207-78699-44753</v>
      </c>
    </row>
    <row r="1475" spans="1:5" ht="14.25" customHeight="1">
      <c r="A1475" s="13">
        <v>1207</v>
      </c>
      <c r="B1475" s="13">
        <v>78699</v>
      </c>
      <c r="C1475" s="14">
        <v>44760</v>
      </c>
      <c r="D1475" s="15">
        <v>4</v>
      </c>
      <c r="E1475" t="str">
        <f t="shared" ref="E1475:E1538" si="23">A1475&amp;"-"&amp;B1475&amp;"-"&amp;INT(C1475)</f>
        <v>1207-78699-44760</v>
      </c>
    </row>
    <row r="1476" spans="1:5" ht="14.25" customHeight="1">
      <c r="A1476" s="13">
        <v>1207</v>
      </c>
      <c r="B1476" s="13">
        <v>78699</v>
      </c>
      <c r="C1476" s="14">
        <v>44767</v>
      </c>
      <c r="D1476" s="15">
        <v>11</v>
      </c>
      <c r="E1476" t="str">
        <f t="shared" si="23"/>
        <v>1207-78699-44767</v>
      </c>
    </row>
    <row r="1477" spans="1:5" ht="14.25" customHeight="1">
      <c r="A1477" s="13">
        <v>1207</v>
      </c>
      <c r="B1477" s="13">
        <v>78699</v>
      </c>
      <c r="C1477" s="14">
        <v>44774</v>
      </c>
      <c r="D1477" s="15">
        <v>12</v>
      </c>
      <c r="E1477" t="str">
        <f t="shared" si="23"/>
        <v>1207-78699-44774</v>
      </c>
    </row>
    <row r="1478" spans="1:5" ht="14.25" customHeight="1">
      <c r="A1478" s="13">
        <v>1207</v>
      </c>
      <c r="B1478" s="13">
        <v>78699</v>
      </c>
      <c r="C1478" s="14">
        <v>44781</v>
      </c>
      <c r="D1478" s="15">
        <v>14</v>
      </c>
      <c r="E1478" t="str">
        <f t="shared" si="23"/>
        <v>1207-78699-44781</v>
      </c>
    </row>
    <row r="1479" spans="1:5" ht="14.25" customHeight="1">
      <c r="A1479" s="13">
        <v>1207</v>
      </c>
      <c r="B1479" s="13">
        <v>78699</v>
      </c>
      <c r="C1479" s="14">
        <v>44788</v>
      </c>
      <c r="D1479" s="15">
        <v>1</v>
      </c>
      <c r="E1479" t="str">
        <f t="shared" si="23"/>
        <v>1207-78699-44788</v>
      </c>
    </row>
    <row r="1480" spans="1:5" ht="14.25" customHeight="1">
      <c r="A1480" s="13">
        <v>1207</v>
      </c>
      <c r="B1480" s="13">
        <v>78869</v>
      </c>
      <c r="C1480" s="14">
        <v>44739</v>
      </c>
      <c r="D1480" s="15">
        <v>30</v>
      </c>
      <c r="E1480" t="str">
        <f t="shared" si="23"/>
        <v>1207-78869-44739</v>
      </c>
    </row>
    <row r="1481" spans="1:5" ht="14.25" customHeight="1">
      <c r="A1481" s="13">
        <v>1207</v>
      </c>
      <c r="B1481" s="13">
        <v>78869</v>
      </c>
      <c r="C1481" s="14">
        <v>44746</v>
      </c>
      <c r="D1481" s="15">
        <v>72</v>
      </c>
      <c r="E1481" t="str">
        <f t="shared" si="23"/>
        <v>1207-78869-44746</v>
      </c>
    </row>
    <row r="1482" spans="1:5" ht="14.25" customHeight="1">
      <c r="A1482" s="13">
        <v>1207</v>
      </c>
      <c r="B1482" s="13">
        <v>78869</v>
      </c>
      <c r="C1482" s="14">
        <v>44753</v>
      </c>
      <c r="D1482" s="15">
        <v>28</v>
      </c>
      <c r="E1482" t="str">
        <f t="shared" si="23"/>
        <v>1207-78869-44753</v>
      </c>
    </row>
    <row r="1483" spans="1:5" ht="14.25" customHeight="1">
      <c r="A1483" s="13">
        <v>1207</v>
      </c>
      <c r="B1483" s="13">
        <v>78869</v>
      </c>
      <c r="C1483" s="14">
        <v>44760</v>
      </c>
      <c r="D1483" s="15">
        <v>32</v>
      </c>
      <c r="E1483" t="str">
        <f t="shared" si="23"/>
        <v>1207-78869-44760</v>
      </c>
    </row>
    <row r="1484" spans="1:5" ht="14.25" customHeight="1">
      <c r="A1484" s="13">
        <v>1207</v>
      </c>
      <c r="B1484" s="13">
        <v>78869</v>
      </c>
      <c r="C1484" s="14">
        <v>44767</v>
      </c>
      <c r="D1484" s="15">
        <v>78</v>
      </c>
      <c r="E1484" t="str">
        <f t="shared" si="23"/>
        <v>1207-78869-44767</v>
      </c>
    </row>
    <row r="1485" spans="1:5" ht="14.25" customHeight="1">
      <c r="A1485" s="13">
        <v>1207</v>
      </c>
      <c r="B1485" s="13">
        <v>78869</v>
      </c>
      <c r="C1485" s="14">
        <v>44774</v>
      </c>
      <c r="D1485" s="15">
        <v>88</v>
      </c>
      <c r="E1485" t="str">
        <f t="shared" si="23"/>
        <v>1207-78869-44774</v>
      </c>
    </row>
    <row r="1486" spans="1:5" ht="14.25" customHeight="1">
      <c r="A1486" s="13">
        <v>1207</v>
      </c>
      <c r="B1486" s="13">
        <v>78869</v>
      </c>
      <c r="C1486" s="14">
        <v>44781</v>
      </c>
      <c r="D1486" s="15">
        <v>57</v>
      </c>
      <c r="E1486" t="str">
        <f t="shared" si="23"/>
        <v>1207-78869-44781</v>
      </c>
    </row>
    <row r="1487" spans="1:5" ht="14.25" customHeight="1">
      <c r="A1487" s="13">
        <v>1207</v>
      </c>
      <c r="B1487" s="13">
        <v>78869</v>
      </c>
      <c r="C1487" s="14">
        <v>44788</v>
      </c>
      <c r="D1487" s="15">
        <v>36</v>
      </c>
      <c r="E1487" t="str">
        <f t="shared" si="23"/>
        <v>1207-78869-44788</v>
      </c>
    </row>
    <row r="1488" spans="1:5" ht="14.25" customHeight="1">
      <c r="A1488" s="13">
        <v>1207</v>
      </c>
      <c r="B1488" s="13">
        <v>115600</v>
      </c>
      <c r="C1488" s="14">
        <v>32874</v>
      </c>
      <c r="D1488" s="15">
        <v>12</v>
      </c>
      <c r="E1488" t="str">
        <f t="shared" si="23"/>
        <v>1207-115600-32874</v>
      </c>
    </row>
    <row r="1489" spans="1:5" ht="14.25" customHeight="1">
      <c r="A1489" s="13">
        <v>1207</v>
      </c>
      <c r="B1489" s="13">
        <v>115600</v>
      </c>
      <c r="C1489" s="14">
        <v>44739</v>
      </c>
      <c r="D1489" s="15">
        <v>36</v>
      </c>
      <c r="E1489" t="str">
        <f t="shared" si="23"/>
        <v>1207-115600-44739</v>
      </c>
    </row>
    <row r="1490" spans="1:5" ht="14.25" customHeight="1">
      <c r="A1490" s="13">
        <v>1207</v>
      </c>
      <c r="B1490" s="13">
        <v>115600</v>
      </c>
      <c r="C1490" s="14">
        <v>44746</v>
      </c>
      <c r="D1490" s="15">
        <v>38</v>
      </c>
      <c r="E1490" t="str">
        <f t="shared" si="23"/>
        <v>1207-115600-44746</v>
      </c>
    </row>
    <row r="1491" spans="1:5" ht="14.25" customHeight="1">
      <c r="A1491" s="13">
        <v>1207</v>
      </c>
      <c r="B1491" s="13">
        <v>115600</v>
      </c>
      <c r="C1491" s="14">
        <v>44753</v>
      </c>
      <c r="D1491" s="15">
        <v>7</v>
      </c>
      <c r="E1491" t="str">
        <f t="shared" si="23"/>
        <v>1207-115600-44753</v>
      </c>
    </row>
    <row r="1492" spans="1:5" ht="14.25" customHeight="1">
      <c r="A1492" s="13">
        <v>1207</v>
      </c>
      <c r="B1492" s="13">
        <v>115600</v>
      </c>
      <c r="C1492" s="14">
        <v>44760</v>
      </c>
      <c r="D1492" s="15">
        <v>44</v>
      </c>
      <c r="E1492" t="str">
        <f t="shared" si="23"/>
        <v>1207-115600-44760</v>
      </c>
    </row>
    <row r="1493" spans="1:5" ht="14.25" customHeight="1">
      <c r="A1493" s="13">
        <v>1207</v>
      </c>
      <c r="B1493" s="13">
        <v>115600</v>
      </c>
      <c r="C1493" s="14">
        <v>44767</v>
      </c>
      <c r="D1493" s="15">
        <v>31</v>
      </c>
      <c r="E1493" t="str">
        <f t="shared" si="23"/>
        <v>1207-115600-44767</v>
      </c>
    </row>
    <row r="1494" spans="1:5" ht="14.25" customHeight="1">
      <c r="A1494" s="13">
        <v>1207</v>
      </c>
      <c r="B1494" s="13">
        <v>115600</v>
      </c>
      <c r="C1494" s="14">
        <v>44774</v>
      </c>
      <c r="D1494" s="15">
        <v>47</v>
      </c>
      <c r="E1494" t="str">
        <f t="shared" si="23"/>
        <v>1207-115600-44774</v>
      </c>
    </row>
    <row r="1495" spans="1:5" ht="14.25" customHeight="1">
      <c r="A1495" s="13">
        <v>1207</v>
      </c>
      <c r="B1495" s="13">
        <v>115600</v>
      </c>
      <c r="C1495" s="14">
        <v>44781</v>
      </c>
      <c r="D1495" s="15">
        <v>18</v>
      </c>
      <c r="E1495" t="str">
        <f t="shared" si="23"/>
        <v>1207-115600-44781</v>
      </c>
    </row>
    <row r="1496" spans="1:5" ht="14.25" customHeight="1">
      <c r="A1496" s="13">
        <v>1207</v>
      </c>
      <c r="B1496" s="13">
        <v>115600</v>
      </c>
      <c r="C1496" s="14">
        <v>44788</v>
      </c>
      <c r="D1496" s="15">
        <v>12</v>
      </c>
      <c r="E1496" t="str">
        <f t="shared" si="23"/>
        <v>1207-115600-44788</v>
      </c>
    </row>
    <row r="1497" spans="1:5" ht="14.25" customHeight="1">
      <c r="A1497" s="13">
        <v>1207</v>
      </c>
      <c r="B1497" s="13">
        <v>129208</v>
      </c>
      <c r="C1497" s="14">
        <v>44739</v>
      </c>
      <c r="D1497" s="15">
        <v>26</v>
      </c>
      <c r="E1497" t="str">
        <f t="shared" si="23"/>
        <v>1207-129208-44739</v>
      </c>
    </row>
    <row r="1498" spans="1:5" ht="14.25" customHeight="1">
      <c r="A1498" s="13">
        <v>1207</v>
      </c>
      <c r="B1498" s="13">
        <v>129208</v>
      </c>
      <c r="C1498" s="14">
        <v>44746</v>
      </c>
      <c r="D1498" s="15">
        <v>18</v>
      </c>
      <c r="E1498" t="str">
        <f t="shared" si="23"/>
        <v>1207-129208-44746</v>
      </c>
    </row>
    <row r="1499" spans="1:5" ht="14.25" customHeight="1">
      <c r="A1499" s="13">
        <v>1207</v>
      </c>
      <c r="B1499" s="13">
        <v>129208</v>
      </c>
      <c r="C1499" s="14">
        <v>44753</v>
      </c>
      <c r="D1499" s="15">
        <v>12</v>
      </c>
      <c r="E1499" t="str">
        <f t="shared" si="23"/>
        <v>1207-129208-44753</v>
      </c>
    </row>
    <row r="1500" spans="1:5" ht="14.25" customHeight="1">
      <c r="A1500" s="13">
        <v>1207</v>
      </c>
      <c r="B1500" s="13">
        <v>129208</v>
      </c>
      <c r="C1500" s="14">
        <v>44760</v>
      </c>
      <c r="D1500" s="15">
        <v>14</v>
      </c>
      <c r="E1500" t="str">
        <f t="shared" si="23"/>
        <v>1207-129208-44760</v>
      </c>
    </row>
    <row r="1501" spans="1:5" ht="14.25" customHeight="1">
      <c r="A1501" s="13">
        <v>1207</v>
      </c>
      <c r="B1501" s="13">
        <v>129208</v>
      </c>
      <c r="C1501" s="14">
        <v>44767</v>
      </c>
      <c r="D1501" s="15">
        <v>-1</v>
      </c>
      <c r="E1501" t="str">
        <f t="shared" si="23"/>
        <v>1207-129208-44767</v>
      </c>
    </row>
    <row r="1502" spans="1:5" ht="14.25" customHeight="1">
      <c r="A1502" s="13">
        <v>1207</v>
      </c>
      <c r="B1502" s="13">
        <v>129208</v>
      </c>
      <c r="C1502" s="14">
        <v>44774</v>
      </c>
      <c r="D1502" s="15">
        <v>-1</v>
      </c>
      <c r="E1502" t="str">
        <f t="shared" si="23"/>
        <v>1207-129208-44774</v>
      </c>
    </row>
    <row r="1503" spans="1:5" ht="14.25" customHeight="1">
      <c r="A1503" s="13">
        <v>1207</v>
      </c>
      <c r="B1503" s="13">
        <v>129208</v>
      </c>
      <c r="C1503" s="14">
        <v>44781</v>
      </c>
      <c r="D1503" s="15">
        <v>-2</v>
      </c>
      <c r="E1503" t="str">
        <f t="shared" si="23"/>
        <v>1207-129208-44781</v>
      </c>
    </row>
    <row r="1504" spans="1:5" ht="14.25" customHeight="1">
      <c r="A1504" s="13">
        <v>1207</v>
      </c>
      <c r="B1504" s="13">
        <v>129208</v>
      </c>
      <c r="C1504" s="14">
        <v>44788</v>
      </c>
      <c r="D1504" s="15">
        <v>16</v>
      </c>
      <c r="E1504" t="str">
        <f t="shared" si="23"/>
        <v>1207-129208-44788</v>
      </c>
    </row>
    <row r="1505" spans="1:5" ht="14.25" customHeight="1">
      <c r="A1505" s="13">
        <v>1207</v>
      </c>
      <c r="B1505" s="13">
        <v>141622</v>
      </c>
      <c r="C1505" s="14">
        <v>44739</v>
      </c>
      <c r="D1505" s="15">
        <v>37</v>
      </c>
      <c r="E1505" t="str">
        <f t="shared" si="23"/>
        <v>1207-141622-44739</v>
      </c>
    </row>
    <row r="1506" spans="1:5" ht="14.25" customHeight="1">
      <c r="A1506" s="13">
        <v>1207</v>
      </c>
      <c r="B1506" s="13">
        <v>141622</v>
      </c>
      <c r="C1506" s="14">
        <v>44746</v>
      </c>
      <c r="D1506" s="15">
        <v>72</v>
      </c>
      <c r="E1506" t="str">
        <f t="shared" si="23"/>
        <v>1207-141622-44746</v>
      </c>
    </row>
    <row r="1507" spans="1:5" ht="14.25" customHeight="1">
      <c r="A1507" s="13">
        <v>1207</v>
      </c>
      <c r="B1507" s="13">
        <v>141622</v>
      </c>
      <c r="C1507" s="14">
        <v>44753</v>
      </c>
      <c r="D1507" s="15">
        <v>66</v>
      </c>
      <c r="E1507" t="str">
        <f t="shared" si="23"/>
        <v>1207-141622-44753</v>
      </c>
    </row>
    <row r="1508" spans="1:5" ht="14.25" customHeight="1">
      <c r="A1508" s="16">
        <v>1207</v>
      </c>
      <c r="B1508" s="13">
        <v>141622</v>
      </c>
      <c r="C1508" s="14">
        <v>44760</v>
      </c>
      <c r="D1508" s="15">
        <v>48</v>
      </c>
      <c r="E1508" t="str">
        <f t="shared" si="23"/>
        <v>1207-141622-44760</v>
      </c>
    </row>
    <row r="1509" spans="1:5" ht="14.25" customHeight="1">
      <c r="A1509" s="13">
        <v>1207</v>
      </c>
      <c r="B1509" s="13">
        <v>141622</v>
      </c>
      <c r="C1509" s="14">
        <v>44767</v>
      </c>
      <c r="D1509" s="15">
        <v>75</v>
      </c>
      <c r="E1509" t="str">
        <f t="shared" si="23"/>
        <v>1207-141622-44767</v>
      </c>
    </row>
    <row r="1510" spans="1:5" ht="14.25" customHeight="1">
      <c r="A1510" s="13">
        <v>1207</v>
      </c>
      <c r="B1510" s="13">
        <v>141622</v>
      </c>
      <c r="C1510" s="14">
        <v>44774</v>
      </c>
      <c r="D1510" s="15">
        <v>84</v>
      </c>
      <c r="E1510" t="str">
        <f t="shared" si="23"/>
        <v>1207-141622-44774</v>
      </c>
    </row>
    <row r="1511" spans="1:5" ht="14.25" customHeight="1">
      <c r="A1511" s="13">
        <v>1207</v>
      </c>
      <c r="B1511" s="13">
        <v>141622</v>
      </c>
      <c r="C1511" s="14">
        <v>44781</v>
      </c>
      <c r="D1511" s="15">
        <v>38</v>
      </c>
      <c r="E1511" t="str">
        <f t="shared" si="23"/>
        <v>1207-141622-44781</v>
      </c>
    </row>
    <row r="1512" spans="1:5" ht="14.25" customHeight="1">
      <c r="A1512" s="13">
        <v>1207</v>
      </c>
      <c r="B1512" s="13">
        <v>141622</v>
      </c>
      <c r="C1512" s="14">
        <v>44788</v>
      </c>
      <c r="D1512" s="15">
        <v>48</v>
      </c>
      <c r="E1512" t="str">
        <f t="shared" si="23"/>
        <v>1207-141622-44788</v>
      </c>
    </row>
    <row r="1513" spans="1:5" ht="14.25" customHeight="1">
      <c r="A1513" s="13">
        <v>1207</v>
      </c>
      <c r="B1513" s="13">
        <v>141626</v>
      </c>
      <c r="C1513" s="14">
        <v>44739</v>
      </c>
      <c r="D1513" s="15">
        <v>1624</v>
      </c>
      <c r="E1513" t="str">
        <f t="shared" si="23"/>
        <v>1207-141626-44739</v>
      </c>
    </row>
    <row r="1514" spans="1:5" ht="14.25" customHeight="1">
      <c r="A1514" s="13">
        <v>1207</v>
      </c>
      <c r="B1514" s="13">
        <v>141626</v>
      </c>
      <c r="C1514" s="14">
        <v>44746</v>
      </c>
      <c r="D1514" s="15">
        <v>460</v>
      </c>
      <c r="E1514" t="str">
        <f t="shared" si="23"/>
        <v>1207-141626-44746</v>
      </c>
    </row>
    <row r="1515" spans="1:5" ht="14.25" customHeight="1">
      <c r="A1515" s="13">
        <v>1207</v>
      </c>
      <c r="B1515" s="13">
        <v>141626</v>
      </c>
      <c r="C1515" s="14">
        <v>44753</v>
      </c>
      <c r="D1515" s="15">
        <v>411</v>
      </c>
      <c r="E1515" t="str">
        <f t="shared" si="23"/>
        <v>1207-141626-44753</v>
      </c>
    </row>
    <row r="1516" spans="1:5" ht="14.25" customHeight="1">
      <c r="A1516" s="13">
        <v>1207</v>
      </c>
      <c r="B1516" s="13">
        <v>141626</v>
      </c>
      <c r="C1516" s="14">
        <v>44760</v>
      </c>
      <c r="D1516" s="15">
        <v>416</v>
      </c>
      <c r="E1516" t="str">
        <f t="shared" si="23"/>
        <v>1207-141626-44760</v>
      </c>
    </row>
    <row r="1517" spans="1:5" ht="14.25" customHeight="1">
      <c r="A1517" s="13">
        <v>1207</v>
      </c>
      <c r="B1517" s="13">
        <v>141626</v>
      </c>
      <c r="C1517" s="14">
        <v>44767</v>
      </c>
      <c r="D1517" s="15">
        <v>1622</v>
      </c>
      <c r="E1517" t="str">
        <f t="shared" si="23"/>
        <v>1207-141626-44767</v>
      </c>
    </row>
    <row r="1518" spans="1:5" ht="14.25" customHeight="1">
      <c r="A1518" s="13">
        <v>1207</v>
      </c>
      <c r="B1518" s="13">
        <v>141626</v>
      </c>
      <c r="C1518" s="14">
        <v>44774</v>
      </c>
      <c r="D1518" s="15">
        <v>544</v>
      </c>
      <c r="E1518" t="str">
        <f t="shared" si="23"/>
        <v>1207-141626-44774</v>
      </c>
    </row>
    <row r="1519" spans="1:5" ht="14.25" customHeight="1">
      <c r="A1519" s="13">
        <v>1207</v>
      </c>
      <c r="B1519" s="13">
        <v>141626</v>
      </c>
      <c r="C1519" s="14">
        <v>44781</v>
      </c>
      <c r="D1519" s="15">
        <v>413</v>
      </c>
      <c r="E1519" t="str">
        <f t="shared" si="23"/>
        <v>1207-141626-44781</v>
      </c>
    </row>
    <row r="1520" spans="1:5" ht="14.25" customHeight="1">
      <c r="A1520" s="13">
        <v>1207</v>
      </c>
      <c r="B1520" s="13">
        <v>141626</v>
      </c>
      <c r="C1520" s="14">
        <v>44788</v>
      </c>
      <c r="D1520" s="15">
        <v>1401</v>
      </c>
      <c r="E1520" t="str">
        <f t="shared" si="23"/>
        <v>1207-141626-44788</v>
      </c>
    </row>
    <row r="1521" spans="1:5" ht="14.25" customHeight="1">
      <c r="A1521" s="13">
        <v>1207</v>
      </c>
      <c r="B1521" s="13">
        <v>141791</v>
      </c>
      <c r="C1521" s="14">
        <v>44739</v>
      </c>
      <c r="D1521" s="15">
        <v>27</v>
      </c>
      <c r="E1521" t="str">
        <f t="shared" si="23"/>
        <v>1207-141791-44739</v>
      </c>
    </row>
    <row r="1522" spans="1:5" ht="14.25" customHeight="1">
      <c r="A1522" s="13">
        <v>1207</v>
      </c>
      <c r="B1522" s="13">
        <v>141791</v>
      </c>
      <c r="C1522" s="14">
        <v>44746</v>
      </c>
      <c r="D1522" s="15">
        <v>26</v>
      </c>
      <c r="E1522" t="str">
        <f t="shared" si="23"/>
        <v>1207-141791-44746</v>
      </c>
    </row>
    <row r="1523" spans="1:5" ht="14.25" customHeight="1">
      <c r="A1523" s="13">
        <v>1207</v>
      </c>
      <c r="B1523" s="13">
        <v>141791</v>
      </c>
      <c r="C1523" s="14">
        <v>44753</v>
      </c>
      <c r="D1523" s="15">
        <v>2</v>
      </c>
      <c r="E1523" t="str">
        <f t="shared" si="23"/>
        <v>1207-141791-44753</v>
      </c>
    </row>
    <row r="1524" spans="1:5" ht="14.25" customHeight="1">
      <c r="A1524" s="13">
        <v>1207</v>
      </c>
      <c r="B1524" s="13">
        <v>141791</v>
      </c>
      <c r="C1524" s="14">
        <v>44760</v>
      </c>
      <c r="D1524" s="15">
        <v>8</v>
      </c>
      <c r="E1524" t="str">
        <f t="shared" si="23"/>
        <v>1207-141791-44760</v>
      </c>
    </row>
    <row r="1525" spans="1:5" ht="14.25" customHeight="1">
      <c r="A1525" s="13">
        <v>1207</v>
      </c>
      <c r="B1525" s="13">
        <v>141791</v>
      </c>
      <c r="C1525" s="14">
        <v>44767</v>
      </c>
      <c r="D1525" s="15">
        <v>26</v>
      </c>
      <c r="E1525" t="str">
        <f t="shared" si="23"/>
        <v>1207-141791-44767</v>
      </c>
    </row>
    <row r="1526" spans="1:5" ht="14.25" customHeight="1">
      <c r="A1526" s="13">
        <v>1207</v>
      </c>
      <c r="B1526" s="13">
        <v>141791</v>
      </c>
      <c r="C1526" s="14">
        <v>44774</v>
      </c>
      <c r="D1526" s="15">
        <v>9</v>
      </c>
      <c r="E1526" t="str">
        <f t="shared" si="23"/>
        <v>1207-141791-44774</v>
      </c>
    </row>
    <row r="1527" spans="1:5" ht="14.25" customHeight="1">
      <c r="A1527" s="13">
        <v>1207</v>
      </c>
      <c r="B1527" s="13">
        <v>141791</v>
      </c>
      <c r="C1527" s="14">
        <v>44781</v>
      </c>
      <c r="D1527" s="15">
        <v>24</v>
      </c>
      <c r="E1527" t="str">
        <f t="shared" si="23"/>
        <v>1207-141791-44781</v>
      </c>
    </row>
    <row r="1528" spans="1:5" ht="14.25" customHeight="1">
      <c r="A1528" s="13">
        <v>1207</v>
      </c>
      <c r="B1528" s="13">
        <v>141791</v>
      </c>
      <c r="C1528" s="14">
        <v>44788</v>
      </c>
      <c r="D1528" s="15">
        <v>20</v>
      </c>
      <c r="E1528" t="str">
        <f t="shared" si="23"/>
        <v>1207-141791-44788</v>
      </c>
    </row>
    <row r="1529" spans="1:5" ht="14.25" customHeight="1">
      <c r="A1529" s="13">
        <v>1207</v>
      </c>
      <c r="B1529" s="13">
        <v>141846</v>
      </c>
      <c r="C1529" s="14">
        <v>44739</v>
      </c>
      <c r="D1529" s="15">
        <v>30</v>
      </c>
      <c r="E1529" t="str">
        <f t="shared" si="23"/>
        <v>1207-141846-44739</v>
      </c>
    </row>
    <row r="1530" spans="1:5" ht="14.25" customHeight="1">
      <c r="A1530" s="13">
        <v>1207</v>
      </c>
      <c r="B1530" s="13">
        <v>141846</v>
      </c>
      <c r="C1530" s="14">
        <v>44746</v>
      </c>
      <c r="D1530" s="15">
        <v>9</v>
      </c>
      <c r="E1530" t="str">
        <f t="shared" si="23"/>
        <v>1207-141846-44746</v>
      </c>
    </row>
    <row r="1531" spans="1:5" ht="14.25" customHeight="1">
      <c r="A1531" s="13">
        <v>1207</v>
      </c>
      <c r="B1531" s="13">
        <v>141846</v>
      </c>
      <c r="C1531" s="14">
        <v>44753</v>
      </c>
      <c r="D1531" s="15">
        <v>15</v>
      </c>
      <c r="E1531" t="str">
        <f t="shared" si="23"/>
        <v>1207-141846-44753</v>
      </c>
    </row>
    <row r="1532" spans="1:5" ht="14.25" customHeight="1">
      <c r="A1532" s="13">
        <v>1207</v>
      </c>
      <c r="B1532" s="13">
        <v>141846</v>
      </c>
      <c r="C1532" s="14">
        <v>44760</v>
      </c>
      <c r="D1532" s="15">
        <v>36</v>
      </c>
      <c r="E1532" t="str">
        <f t="shared" si="23"/>
        <v>1207-141846-44760</v>
      </c>
    </row>
    <row r="1533" spans="1:5" ht="14.25" customHeight="1">
      <c r="A1533" s="13">
        <v>1207</v>
      </c>
      <c r="B1533" s="13">
        <v>141846</v>
      </c>
      <c r="C1533" s="14">
        <v>44767</v>
      </c>
      <c r="D1533" s="15">
        <v>8</v>
      </c>
      <c r="E1533" t="str">
        <f t="shared" si="23"/>
        <v>1207-141846-44767</v>
      </c>
    </row>
    <row r="1534" spans="1:5" ht="14.25" customHeight="1">
      <c r="A1534" s="13">
        <v>1207</v>
      </c>
      <c r="B1534" s="13">
        <v>141846</v>
      </c>
      <c r="C1534" s="14">
        <v>44774</v>
      </c>
      <c r="D1534" s="15">
        <v>39</v>
      </c>
      <c r="E1534" t="str">
        <f t="shared" si="23"/>
        <v>1207-141846-44774</v>
      </c>
    </row>
    <row r="1535" spans="1:5" ht="14.25" customHeight="1">
      <c r="A1535" s="13">
        <v>1207</v>
      </c>
      <c r="B1535" s="13">
        <v>141846</v>
      </c>
      <c r="C1535" s="14">
        <v>44781</v>
      </c>
      <c r="D1535" s="15">
        <v>18</v>
      </c>
      <c r="E1535" t="str">
        <f t="shared" si="23"/>
        <v>1207-141846-44781</v>
      </c>
    </row>
    <row r="1536" spans="1:5" ht="14.25" customHeight="1">
      <c r="A1536" s="13">
        <v>1207</v>
      </c>
      <c r="B1536" s="13">
        <v>141846</v>
      </c>
      <c r="C1536" s="14">
        <v>44788</v>
      </c>
      <c r="D1536" s="15">
        <v>34</v>
      </c>
      <c r="E1536" t="str">
        <f t="shared" si="23"/>
        <v>1207-141846-44788</v>
      </c>
    </row>
    <row r="1537" spans="1:5" ht="14.25" customHeight="1">
      <c r="A1537" s="13">
        <v>1207</v>
      </c>
      <c r="B1537" s="13">
        <v>141967</v>
      </c>
      <c r="C1537" s="14">
        <v>44739</v>
      </c>
      <c r="D1537" s="15">
        <v>64</v>
      </c>
      <c r="E1537" t="str">
        <f t="shared" si="23"/>
        <v>1207-141967-44739</v>
      </c>
    </row>
    <row r="1538" spans="1:5" ht="14.25" customHeight="1">
      <c r="A1538" s="13">
        <v>1207</v>
      </c>
      <c r="B1538" s="13">
        <v>141967</v>
      </c>
      <c r="C1538" s="14">
        <v>44746</v>
      </c>
      <c r="D1538" s="15">
        <v>34</v>
      </c>
      <c r="E1538" t="str">
        <f t="shared" si="23"/>
        <v>1207-141967-44746</v>
      </c>
    </row>
    <row r="1539" spans="1:5" ht="14.25" customHeight="1">
      <c r="A1539" s="13">
        <v>1207</v>
      </c>
      <c r="B1539" s="13">
        <v>141967</v>
      </c>
      <c r="C1539" s="14">
        <v>44753</v>
      </c>
      <c r="D1539" s="15">
        <v>50</v>
      </c>
      <c r="E1539" t="str">
        <f t="shared" ref="E1539:E1602" si="24">A1539&amp;"-"&amp;B1539&amp;"-"&amp;INT(C1539)</f>
        <v>1207-141967-44753</v>
      </c>
    </row>
    <row r="1540" spans="1:5" ht="14.25" customHeight="1">
      <c r="A1540" s="13">
        <v>1207</v>
      </c>
      <c r="B1540" s="13">
        <v>141967</v>
      </c>
      <c r="C1540" s="14">
        <v>44760</v>
      </c>
      <c r="D1540" s="15">
        <v>50</v>
      </c>
      <c r="E1540" t="str">
        <f t="shared" si="24"/>
        <v>1207-141967-44760</v>
      </c>
    </row>
    <row r="1541" spans="1:5" ht="14.25" customHeight="1">
      <c r="A1541" s="13">
        <v>1207</v>
      </c>
      <c r="B1541" s="13">
        <v>141967</v>
      </c>
      <c r="C1541" s="14">
        <v>44767</v>
      </c>
      <c r="D1541" s="15">
        <v>54</v>
      </c>
      <c r="E1541" t="str">
        <f t="shared" si="24"/>
        <v>1207-141967-44767</v>
      </c>
    </row>
    <row r="1542" spans="1:5" ht="14.25" customHeight="1">
      <c r="A1542" s="13">
        <v>1207</v>
      </c>
      <c r="B1542" s="13">
        <v>141967</v>
      </c>
      <c r="C1542" s="14">
        <v>44774</v>
      </c>
      <c r="D1542" s="15">
        <v>60</v>
      </c>
      <c r="E1542" t="str">
        <f t="shared" si="24"/>
        <v>1207-141967-44774</v>
      </c>
    </row>
    <row r="1543" spans="1:5" ht="14.25" customHeight="1">
      <c r="A1543" s="13">
        <v>1207</v>
      </c>
      <c r="B1543" s="13">
        <v>141967</v>
      </c>
      <c r="C1543" s="14">
        <v>44781</v>
      </c>
      <c r="D1543" s="15">
        <v>41</v>
      </c>
      <c r="E1543" t="str">
        <f t="shared" si="24"/>
        <v>1207-141967-44781</v>
      </c>
    </row>
    <row r="1544" spans="1:5" ht="14.25" customHeight="1">
      <c r="A1544" s="13">
        <v>1207</v>
      </c>
      <c r="B1544" s="13">
        <v>141967</v>
      </c>
      <c r="C1544" s="14">
        <v>44788</v>
      </c>
      <c r="D1544" s="15">
        <v>33</v>
      </c>
      <c r="E1544" t="str">
        <f t="shared" si="24"/>
        <v>1207-141967-44788</v>
      </c>
    </row>
    <row r="1545" spans="1:5" ht="14.25" customHeight="1">
      <c r="A1545" s="13">
        <v>1207</v>
      </c>
      <c r="B1545" s="13">
        <v>142194</v>
      </c>
      <c r="C1545" s="14">
        <v>44739</v>
      </c>
      <c r="D1545" s="15">
        <v>166</v>
      </c>
      <c r="E1545" t="str">
        <f t="shared" si="24"/>
        <v>1207-142194-44739</v>
      </c>
    </row>
    <row r="1546" spans="1:5" ht="14.25" customHeight="1">
      <c r="A1546" s="13">
        <v>1207</v>
      </c>
      <c r="B1546" s="13">
        <v>142194</v>
      </c>
      <c r="C1546" s="14">
        <v>44746</v>
      </c>
      <c r="D1546" s="15">
        <v>168</v>
      </c>
      <c r="E1546" t="str">
        <f t="shared" si="24"/>
        <v>1207-142194-44746</v>
      </c>
    </row>
    <row r="1547" spans="1:5" ht="14.25" customHeight="1">
      <c r="A1547" s="13">
        <v>1207</v>
      </c>
      <c r="B1547" s="13">
        <v>142194</v>
      </c>
      <c r="C1547" s="14">
        <v>44753</v>
      </c>
      <c r="D1547" s="15">
        <v>172</v>
      </c>
      <c r="E1547" t="str">
        <f t="shared" si="24"/>
        <v>1207-142194-44753</v>
      </c>
    </row>
    <row r="1548" spans="1:5" ht="14.25" customHeight="1">
      <c r="A1548" s="13">
        <v>1207</v>
      </c>
      <c r="B1548" s="13">
        <v>142194</v>
      </c>
      <c r="C1548" s="14">
        <v>44760</v>
      </c>
      <c r="D1548" s="15">
        <v>97</v>
      </c>
      <c r="E1548" t="str">
        <f t="shared" si="24"/>
        <v>1207-142194-44760</v>
      </c>
    </row>
    <row r="1549" spans="1:5" ht="14.25" customHeight="1">
      <c r="A1549" s="13">
        <v>1207</v>
      </c>
      <c r="B1549" s="13">
        <v>142194</v>
      </c>
      <c r="C1549" s="14">
        <v>44767</v>
      </c>
      <c r="D1549" s="15">
        <v>150</v>
      </c>
      <c r="E1549" t="str">
        <f t="shared" si="24"/>
        <v>1207-142194-44767</v>
      </c>
    </row>
    <row r="1550" spans="1:5" ht="14.25" customHeight="1">
      <c r="A1550" s="13">
        <v>1207</v>
      </c>
      <c r="B1550" s="13">
        <v>142194</v>
      </c>
      <c r="C1550" s="14">
        <v>44774</v>
      </c>
      <c r="D1550" s="15">
        <v>154</v>
      </c>
      <c r="E1550" t="str">
        <f t="shared" si="24"/>
        <v>1207-142194-44774</v>
      </c>
    </row>
    <row r="1551" spans="1:5" ht="14.25" customHeight="1">
      <c r="A1551" s="13">
        <v>1207</v>
      </c>
      <c r="B1551" s="13">
        <v>142194</v>
      </c>
      <c r="C1551" s="14">
        <v>44781</v>
      </c>
      <c r="D1551" s="15">
        <v>190</v>
      </c>
      <c r="E1551" t="str">
        <f t="shared" si="24"/>
        <v>1207-142194-44781</v>
      </c>
    </row>
    <row r="1552" spans="1:5" ht="14.25" customHeight="1">
      <c r="A1552" s="13">
        <v>1207</v>
      </c>
      <c r="B1552" s="13">
        <v>142194</v>
      </c>
      <c r="C1552" s="14">
        <v>44788</v>
      </c>
      <c r="D1552" s="15">
        <v>200</v>
      </c>
      <c r="E1552" t="str">
        <f t="shared" si="24"/>
        <v>1207-142194-44788</v>
      </c>
    </row>
    <row r="1553" spans="1:5" ht="14.25" customHeight="1">
      <c r="A1553" s="13">
        <v>1207</v>
      </c>
      <c r="B1553" s="13">
        <v>149729</v>
      </c>
      <c r="C1553" s="14">
        <v>44739</v>
      </c>
      <c r="D1553" s="15">
        <v>142</v>
      </c>
      <c r="E1553" t="str">
        <f t="shared" si="24"/>
        <v>1207-149729-44739</v>
      </c>
    </row>
    <row r="1554" spans="1:5" ht="14.25" customHeight="1">
      <c r="A1554" s="13">
        <v>1207</v>
      </c>
      <c r="B1554" s="13">
        <v>149729</v>
      </c>
      <c r="C1554" s="14">
        <v>44746</v>
      </c>
      <c r="D1554" s="15">
        <v>60</v>
      </c>
      <c r="E1554" t="str">
        <f t="shared" si="24"/>
        <v>1207-149729-44746</v>
      </c>
    </row>
    <row r="1555" spans="1:5" ht="14.25" customHeight="1">
      <c r="A1555" s="13">
        <v>1207</v>
      </c>
      <c r="B1555" s="13">
        <v>149729</v>
      </c>
      <c r="C1555" s="14">
        <v>44753</v>
      </c>
      <c r="D1555" s="15">
        <v>138</v>
      </c>
      <c r="E1555" t="str">
        <f t="shared" si="24"/>
        <v>1207-149729-44753</v>
      </c>
    </row>
    <row r="1556" spans="1:5" ht="14.25" customHeight="1">
      <c r="A1556" s="13">
        <v>1207</v>
      </c>
      <c r="B1556" s="13">
        <v>149729</v>
      </c>
      <c r="C1556" s="14">
        <v>44760</v>
      </c>
      <c r="D1556" s="15">
        <v>125</v>
      </c>
      <c r="E1556" t="str">
        <f t="shared" si="24"/>
        <v>1207-149729-44760</v>
      </c>
    </row>
    <row r="1557" spans="1:5" ht="14.25" customHeight="1">
      <c r="A1557" s="13">
        <v>1207</v>
      </c>
      <c r="B1557" s="13">
        <v>149729</v>
      </c>
      <c r="C1557" s="14">
        <v>44767</v>
      </c>
      <c r="D1557" s="15">
        <v>57</v>
      </c>
      <c r="E1557" t="str">
        <f t="shared" si="24"/>
        <v>1207-149729-44767</v>
      </c>
    </row>
    <row r="1558" spans="1:5" ht="14.25" customHeight="1">
      <c r="A1558" s="13">
        <v>1207</v>
      </c>
      <c r="B1558" s="13">
        <v>149729</v>
      </c>
      <c r="C1558" s="14">
        <v>44774</v>
      </c>
      <c r="D1558" s="15">
        <v>124</v>
      </c>
      <c r="E1558" t="str">
        <f t="shared" si="24"/>
        <v>1207-149729-44774</v>
      </c>
    </row>
    <row r="1559" spans="1:5" ht="14.25" customHeight="1">
      <c r="A1559" s="13">
        <v>1207</v>
      </c>
      <c r="B1559" s="13">
        <v>149729</v>
      </c>
      <c r="C1559" s="14">
        <v>44781</v>
      </c>
      <c r="D1559" s="15">
        <v>130</v>
      </c>
      <c r="E1559" t="str">
        <f t="shared" si="24"/>
        <v>1207-149729-44781</v>
      </c>
    </row>
    <row r="1560" spans="1:5" ht="14.25" customHeight="1">
      <c r="A1560" s="13">
        <v>1207</v>
      </c>
      <c r="B1560" s="13">
        <v>149729</v>
      </c>
      <c r="C1560" s="14">
        <v>44788</v>
      </c>
      <c r="D1560" s="15">
        <v>56</v>
      </c>
      <c r="E1560" t="str">
        <f t="shared" si="24"/>
        <v>1207-149729-44788</v>
      </c>
    </row>
    <row r="1561" spans="1:5" ht="14.25" customHeight="1">
      <c r="A1561" s="13">
        <v>1207</v>
      </c>
      <c r="B1561" s="13">
        <v>149779</v>
      </c>
      <c r="C1561" s="14">
        <v>44739</v>
      </c>
      <c r="D1561" s="15">
        <v>98</v>
      </c>
      <c r="E1561" t="str">
        <f t="shared" si="24"/>
        <v>1207-149779-44739</v>
      </c>
    </row>
    <row r="1562" spans="1:5" ht="14.25" customHeight="1">
      <c r="A1562" s="13">
        <v>1207</v>
      </c>
      <c r="B1562" s="13">
        <v>149779</v>
      </c>
      <c r="C1562" s="14">
        <v>44746</v>
      </c>
      <c r="D1562" s="15">
        <v>61</v>
      </c>
      <c r="E1562" t="str">
        <f t="shared" si="24"/>
        <v>1207-149779-44746</v>
      </c>
    </row>
    <row r="1563" spans="1:5" ht="14.25" customHeight="1">
      <c r="A1563" s="13">
        <v>1207</v>
      </c>
      <c r="B1563" s="13">
        <v>149779</v>
      </c>
      <c r="C1563" s="14">
        <v>44753</v>
      </c>
      <c r="D1563" s="15">
        <v>61</v>
      </c>
      <c r="E1563" t="str">
        <f t="shared" si="24"/>
        <v>1207-149779-44753</v>
      </c>
    </row>
    <row r="1564" spans="1:5" ht="14.25" customHeight="1">
      <c r="A1564" s="13">
        <v>1207</v>
      </c>
      <c r="B1564" s="13">
        <v>149779</v>
      </c>
      <c r="C1564" s="14">
        <v>44760</v>
      </c>
      <c r="D1564" s="15">
        <v>133</v>
      </c>
      <c r="E1564" t="str">
        <f t="shared" si="24"/>
        <v>1207-149779-44760</v>
      </c>
    </row>
    <row r="1565" spans="1:5" ht="14.25" customHeight="1">
      <c r="A1565" s="13">
        <v>1207</v>
      </c>
      <c r="B1565" s="13">
        <v>149779</v>
      </c>
      <c r="C1565" s="14">
        <v>44767</v>
      </c>
      <c r="D1565" s="15">
        <v>104</v>
      </c>
      <c r="E1565" t="str">
        <f t="shared" si="24"/>
        <v>1207-149779-44767</v>
      </c>
    </row>
    <row r="1566" spans="1:5" ht="14.25" customHeight="1">
      <c r="A1566" s="13">
        <v>1207</v>
      </c>
      <c r="B1566" s="13">
        <v>149779</v>
      </c>
      <c r="C1566" s="14">
        <v>44774</v>
      </c>
      <c r="D1566" s="15">
        <v>122</v>
      </c>
      <c r="E1566" t="str">
        <f t="shared" si="24"/>
        <v>1207-149779-44774</v>
      </c>
    </row>
    <row r="1567" spans="1:5" ht="14.25" customHeight="1">
      <c r="A1567" s="13">
        <v>1207</v>
      </c>
      <c r="B1567" s="13">
        <v>149779</v>
      </c>
      <c r="C1567" s="14">
        <v>44781</v>
      </c>
      <c r="D1567" s="15">
        <v>123</v>
      </c>
      <c r="E1567" t="str">
        <f t="shared" si="24"/>
        <v>1207-149779-44781</v>
      </c>
    </row>
    <row r="1568" spans="1:5" ht="14.25" customHeight="1">
      <c r="A1568" s="13">
        <v>1207</v>
      </c>
      <c r="B1568" s="13">
        <v>149779</v>
      </c>
      <c r="C1568" s="14">
        <v>44788</v>
      </c>
      <c r="D1568" s="15">
        <v>123</v>
      </c>
      <c r="E1568" t="str">
        <f t="shared" si="24"/>
        <v>1207-149779-44788</v>
      </c>
    </row>
    <row r="1569" spans="1:5" ht="14.25" customHeight="1">
      <c r="A1569" s="13">
        <v>1207</v>
      </c>
      <c r="B1569" s="13">
        <v>189933</v>
      </c>
      <c r="C1569" s="14">
        <v>44739</v>
      </c>
      <c r="D1569" s="15">
        <v>53</v>
      </c>
      <c r="E1569" t="str">
        <f t="shared" si="24"/>
        <v>1207-189933-44739</v>
      </c>
    </row>
    <row r="1570" spans="1:5" ht="14.25" customHeight="1">
      <c r="A1570" s="13">
        <v>1207</v>
      </c>
      <c r="B1570" s="13">
        <v>189933</v>
      </c>
      <c r="C1570" s="14">
        <v>44746</v>
      </c>
      <c r="D1570" s="15">
        <v>131</v>
      </c>
      <c r="E1570" t="str">
        <f t="shared" si="24"/>
        <v>1207-189933-44746</v>
      </c>
    </row>
    <row r="1571" spans="1:5" ht="14.25" customHeight="1">
      <c r="A1571" s="13">
        <v>1207</v>
      </c>
      <c r="B1571" s="13">
        <v>189933</v>
      </c>
      <c r="C1571" s="14">
        <v>44753</v>
      </c>
      <c r="D1571" s="15">
        <v>105</v>
      </c>
      <c r="E1571" t="str">
        <f t="shared" si="24"/>
        <v>1207-189933-44753</v>
      </c>
    </row>
    <row r="1572" spans="1:5" ht="14.25" customHeight="1">
      <c r="A1572" s="13">
        <v>1207</v>
      </c>
      <c r="B1572" s="13">
        <v>189933</v>
      </c>
      <c r="C1572" s="14">
        <v>44760</v>
      </c>
      <c r="D1572" s="15">
        <v>103</v>
      </c>
      <c r="E1572" t="str">
        <f t="shared" si="24"/>
        <v>1207-189933-44760</v>
      </c>
    </row>
    <row r="1573" spans="1:5" ht="14.25" customHeight="1">
      <c r="A1573" s="13">
        <v>1207</v>
      </c>
      <c r="B1573" s="13">
        <v>189933</v>
      </c>
      <c r="C1573" s="14">
        <v>44767</v>
      </c>
      <c r="D1573" s="15">
        <v>117</v>
      </c>
      <c r="E1573" t="str">
        <f t="shared" si="24"/>
        <v>1207-189933-44767</v>
      </c>
    </row>
    <row r="1574" spans="1:5" ht="14.25" customHeight="1">
      <c r="A1574" s="13">
        <v>1207</v>
      </c>
      <c r="B1574" s="13">
        <v>189933</v>
      </c>
      <c r="C1574" s="14">
        <v>44774</v>
      </c>
      <c r="D1574" s="15">
        <v>54</v>
      </c>
      <c r="E1574" t="str">
        <f t="shared" si="24"/>
        <v>1207-189933-44774</v>
      </c>
    </row>
    <row r="1575" spans="1:5" ht="14.25" customHeight="1">
      <c r="A1575" s="13">
        <v>1207</v>
      </c>
      <c r="B1575" s="13">
        <v>189933</v>
      </c>
      <c r="C1575" s="14">
        <v>44781</v>
      </c>
      <c r="D1575" s="15">
        <v>44</v>
      </c>
      <c r="E1575" t="str">
        <f t="shared" si="24"/>
        <v>1207-189933-44781</v>
      </c>
    </row>
    <row r="1576" spans="1:5" ht="14.25" customHeight="1">
      <c r="A1576" s="13">
        <v>1207</v>
      </c>
      <c r="B1576" s="13">
        <v>189933</v>
      </c>
      <c r="C1576" s="14">
        <v>44788</v>
      </c>
      <c r="D1576" s="15">
        <v>39</v>
      </c>
      <c r="E1576" t="str">
        <f t="shared" si="24"/>
        <v>1207-189933-44788</v>
      </c>
    </row>
    <row r="1577" spans="1:5" ht="14.25" customHeight="1">
      <c r="A1577" s="13">
        <v>1207</v>
      </c>
      <c r="B1577" s="13">
        <v>202577</v>
      </c>
      <c r="C1577" s="14">
        <v>44739</v>
      </c>
      <c r="D1577" s="15">
        <v>64</v>
      </c>
      <c r="E1577" t="str">
        <f t="shared" si="24"/>
        <v>1207-202577-44739</v>
      </c>
    </row>
    <row r="1578" spans="1:5" ht="14.25" customHeight="1">
      <c r="A1578" s="13">
        <v>1207</v>
      </c>
      <c r="B1578" s="13">
        <v>202577</v>
      </c>
      <c r="C1578" s="14">
        <v>44746</v>
      </c>
      <c r="D1578" s="15">
        <v>25</v>
      </c>
      <c r="E1578" t="str">
        <f t="shared" si="24"/>
        <v>1207-202577-44746</v>
      </c>
    </row>
    <row r="1579" spans="1:5" ht="14.25" customHeight="1">
      <c r="A1579" s="13">
        <v>1207</v>
      </c>
      <c r="B1579" s="13">
        <v>202577</v>
      </c>
      <c r="C1579" s="14">
        <v>44753</v>
      </c>
      <c r="D1579" s="15">
        <v>82</v>
      </c>
      <c r="E1579" t="str">
        <f t="shared" si="24"/>
        <v>1207-202577-44753</v>
      </c>
    </row>
    <row r="1580" spans="1:5" ht="14.25" customHeight="1">
      <c r="A1580" s="13">
        <v>1207</v>
      </c>
      <c r="B1580" s="13">
        <v>202577</v>
      </c>
      <c r="C1580" s="14">
        <v>44760</v>
      </c>
      <c r="D1580" s="15">
        <v>76</v>
      </c>
      <c r="E1580" t="str">
        <f t="shared" si="24"/>
        <v>1207-202577-44760</v>
      </c>
    </row>
    <row r="1581" spans="1:5" ht="14.25" customHeight="1">
      <c r="A1581" s="13">
        <v>1207</v>
      </c>
      <c r="B1581" s="13">
        <v>202577</v>
      </c>
      <c r="C1581" s="14">
        <v>44767</v>
      </c>
      <c r="D1581" s="15">
        <v>64</v>
      </c>
      <c r="E1581" t="str">
        <f t="shared" si="24"/>
        <v>1207-202577-44767</v>
      </c>
    </row>
    <row r="1582" spans="1:5" ht="14.25" customHeight="1">
      <c r="A1582" s="13">
        <v>1207</v>
      </c>
      <c r="B1582" s="13">
        <v>202577</v>
      </c>
      <c r="C1582" s="14">
        <v>44774</v>
      </c>
      <c r="D1582" s="15">
        <v>80</v>
      </c>
      <c r="E1582" t="str">
        <f t="shared" si="24"/>
        <v>1207-202577-44774</v>
      </c>
    </row>
    <row r="1583" spans="1:5" ht="14.25" customHeight="1">
      <c r="A1583" s="13">
        <v>1207</v>
      </c>
      <c r="B1583" s="13">
        <v>202577</v>
      </c>
      <c r="C1583" s="14">
        <v>44781</v>
      </c>
      <c r="D1583" s="15">
        <v>64</v>
      </c>
      <c r="E1583" t="str">
        <f t="shared" si="24"/>
        <v>1207-202577-44781</v>
      </c>
    </row>
    <row r="1584" spans="1:5" ht="14.25" customHeight="1">
      <c r="A1584" s="13">
        <v>1207</v>
      </c>
      <c r="B1584" s="13">
        <v>202577</v>
      </c>
      <c r="C1584" s="14">
        <v>44788</v>
      </c>
      <c r="D1584" s="15">
        <v>60</v>
      </c>
      <c r="E1584" t="str">
        <f t="shared" si="24"/>
        <v>1207-202577-44788</v>
      </c>
    </row>
    <row r="1585" spans="1:5" ht="14.25" customHeight="1">
      <c r="A1585" s="13">
        <v>1207</v>
      </c>
      <c r="B1585" s="13">
        <v>234334</v>
      </c>
      <c r="C1585" s="14">
        <v>44739</v>
      </c>
      <c r="D1585" s="15">
        <v>105</v>
      </c>
      <c r="E1585" t="str">
        <f t="shared" si="24"/>
        <v>1207-234334-44739</v>
      </c>
    </row>
    <row r="1586" spans="1:5" ht="14.25" customHeight="1">
      <c r="A1586" s="13">
        <v>1207</v>
      </c>
      <c r="B1586" s="13">
        <v>234334</v>
      </c>
      <c r="C1586" s="14">
        <v>44746</v>
      </c>
      <c r="D1586" s="15">
        <v>100</v>
      </c>
      <c r="E1586" t="str">
        <f t="shared" si="24"/>
        <v>1207-234334-44746</v>
      </c>
    </row>
    <row r="1587" spans="1:5" ht="14.25" customHeight="1">
      <c r="A1587" s="13">
        <v>1207</v>
      </c>
      <c r="B1587" s="13">
        <v>234334</v>
      </c>
      <c r="C1587" s="14">
        <v>44753</v>
      </c>
      <c r="D1587" s="15">
        <v>30</v>
      </c>
      <c r="E1587" t="str">
        <f t="shared" si="24"/>
        <v>1207-234334-44753</v>
      </c>
    </row>
    <row r="1588" spans="1:5" ht="14.25" customHeight="1">
      <c r="A1588" s="13">
        <v>1207</v>
      </c>
      <c r="B1588" s="13">
        <v>234334</v>
      </c>
      <c r="C1588" s="14">
        <v>44760</v>
      </c>
      <c r="D1588" s="15">
        <v>30</v>
      </c>
      <c r="E1588" t="str">
        <f t="shared" si="24"/>
        <v>1207-234334-44760</v>
      </c>
    </row>
    <row r="1589" spans="1:5" ht="14.25" customHeight="1">
      <c r="A1589" s="13">
        <v>1207</v>
      </c>
      <c r="B1589" s="13">
        <v>234334</v>
      </c>
      <c r="C1589" s="14">
        <v>44767</v>
      </c>
      <c r="D1589" s="15">
        <v>86</v>
      </c>
      <c r="E1589" t="str">
        <f t="shared" si="24"/>
        <v>1207-234334-44767</v>
      </c>
    </row>
    <row r="1590" spans="1:5" ht="14.25" customHeight="1">
      <c r="A1590" s="13">
        <v>1207</v>
      </c>
      <c r="B1590" s="13">
        <v>234334</v>
      </c>
      <c r="C1590" s="14">
        <v>44774</v>
      </c>
      <c r="D1590" s="15">
        <v>30</v>
      </c>
      <c r="E1590" t="str">
        <f t="shared" si="24"/>
        <v>1207-234334-44774</v>
      </c>
    </row>
    <row r="1591" spans="1:5" ht="14.25" customHeight="1">
      <c r="A1591" s="13">
        <v>1207</v>
      </c>
      <c r="B1591" s="13">
        <v>234334</v>
      </c>
      <c r="C1591" s="14">
        <v>44781</v>
      </c>
      <c r="D1591" s="15">
        <v>72</v>
      </c>
      <c r="E1591" t="str">
        <f t="shared" si="24"/>
        <v>1207-234334-44781</v>
      </c>
    </row>
    <row r="1592" spans="1:5" ht="14.25" customHeight="1">
      <c r="A1592" s="13">
        <v>1207</v>
      </c>
      <c r="B1592" s="13">
        <v>234334</v>
      </c>
      <c r="C1592" s="14">
        <v>44788</v>
      </c>
      <c r="D1592" s="15">
        <v>42</v>
      </c>
      <c r="E1592" t="str">
        <f t="shared" si="24"/>
        <v>1207-234334-44788</v>
      </c>
    </row>
    <row r="1593" spans="1:5" ht="14.25" customHeight="1">
      <c r="A1593" s="13">
        <v>1207</v>
      </c>
      <c r="B1593" s="13">
        <v>249444</v>
      </c>
      <c r="C1593" s="14">
        <v>44739</v>
      </c>
      <c r="D1593" s="15">
        <v>128</v>
      </c>
      <c r="E1593" t="str">
        <f t="shared" si="24"/>
        <v>1207-249444-44739</v>
      </c>
    </row>
    <row r="1594" spans="1:5" ht="14.25" customHeight="1">
      <c r="A1594" s="13">
        <v>1207</v>
      </c>
      <c r="B1594" s="13">
        <v>249444</v>
      </c>
      <c r="C1594" s="14">
        <v>44746</v>
      </c>
      <c r="D1594" s="15">
        <v>219</v>
      </c>
      <c r="E1594" t="str">
        <f t="shared" si="24"/>
        <v>1207-249444-44746</v>
      </c>
    </row>
    <row r="1595" spans="1:5" ht="14.25" customHeight="1">
      <c r="A1595" s="13">
        <v>1207</v>
      </c>
      <c r="B1595" s="13">
        <v>249444</v>
      </c>
      <c r="C1595" s="14">
        <v>44753</v>
      </c>
      <c r="D1595" s="15">
        <v>160</v>
      </c>
      <c r="E1595" t="str">
        <f t="shared" si="24"/>
        <v>1207-249444-44753</v>
      </c>
    </row>
    <row r="1596" spans="1:5" ht="14.25" customHeight="1">
      <c r="A1596" s="13">
        <v>1207</v>
      </c>
      <c r="B1596" s="13">
        <v>249444</v>
      </c>
      <c r="C1596" s="14">
        <v>44760</v>
      </c>
      <c r="D1596" s="15">
        <v>221</v>
      </c>
      <c r="E1596" t="str">
        <f t="shared" si="24"/>
        <v>1207-249444-44760</v>
      </c>
    </row>
    <row r="1597" spans="1:5" ht="14.25" customHeight="1">
      <c r="A1597" s="13">
        <v>1207</v>
      </c>
      <c r="B1597" s="13">
        <v>249444</v>
      </c>
      <c r="C1597" s="14">
        <v>44767</v>
      </c>
      <c r="D1597" s="15">
        <v>259</v>
      </c>
      <c r="E1597" t="str">
        <f t="shared" si="24"/>
        <v>1207-249444-44767</v>
      </c>
    </row>
    <row r="1598" spans="1:5" ht="14.25" customHeight="1">
      <c r="A1598" s="13">
        <v>1207</v>
      </c>
      <c r="B1598" s="13">
        <v>249444</v>
      </c>
      <c r="C1598" s="14">
        <v>44774</v>
      </c>
      <c r="D1598" s="15">
        <v>283</v>
      </c>
      <c r="E1598" t="str">
        <f t="shared" si="24"/>
        <v>1207-249444-44774</v>
      </c>
    </row>
    <row r="1599" spans="1:5" ht="14.25" customHeight="1">
      <c r="A1599" s="13">
        <v>1207</v>
      </c>
      <c r="B1599" s="13">
        <v>249444</v>
      </c>
      <c r="C1599" s="14">
        <v>44781</v>
      </c>
      <c r="D1599" s="15">
        <v>214</v>
      </c>
      <c r="E1599" t="str">
        <f t="shared" si="24"/>
        <v>1207-249444-44781</v>
      </c>
    </row>
    <row r="1600" spans="1:5" ht="14.25" customHeight="1">
      <c r="A1600" s="13">
        <v>1207</v>
      </c>
      <c r="B1600" s="13">
        <v>249444</v>
      </c>
      <c r="C1600" s="14">
        <v>44788</v>
      </c>
      <c r="D1600" s="15">
        <v>145</v>
      </c>
      <c r="E1600" t="str">
        <f t="shared" si="24"/>
        <v>1207-249444-44788</v>
      </c>
    </row>
    <row r="1601" spans="1:5" ht="14.25" customHeight="1">
      <c r="A1601" s="16">
        <v>1207</v>
      </c>
      <c r="B1601" s="13">
        <v>249795</v>
      </c>
      <c r="C1601" s="14">
        <v>44739</v>
      </c>
      <c r="D1601" s="15">
        <v>32</v>
      </c>
      <c r="E1601" t="str">
        <f t="shared" si="24"/>
        <v>1207-249795-44739</v>
      </c>
    </row>
    <row r="1602" spans="1:5" ht="14.25" customHeight="1">
      <c r="A1602" s="13">
        <v>1207</v>
      </c>
      <c r="B1602" s="13">
        <v>249795</v>
      </c>
      <c r="C1602" s="14">
        <v>44746</v>
      </c>
      <c r="D1602" s="15">
        <v>11</v>
      </c>
      <c r="E1602" t="str">
        <f t="shared" si="24"/>
        <v>1207-249795-44746</v>
      </c>
    </row>
    <row r="1603" spans="1:5" ht="14.25" customHeight="1">
      <c r="A1603" s="13">
        <v>1207</v>
      </c>
      <c r="B1603" s="13">
        <v>249795</v>
      </c>
      <c r="C1603" s="14">
        <v>44753</v>
      </c>
      <c r="D1603" s="15">
        <v>18</v>
      </c>
      <c r="E1603" t="str">
        <f t="shared" ref="E1603:E1666" si="25">A1603&amp;"-"&amp;B1603&amp;"-"&amp;INT(C1603)</f>
        <v>1207-249795-44753</v>
      </c>
    </row>
    <row r="1604" spans="1:5" ht="14.25" customHeight="1">
      <c r="A1604" s="13">
        <v>1207</v>
      </c>
      <c r="B1604" s="13">
        <v>249795</v>
      </c>
      <c r="C1604" s="14">
        <v>44760</v>
      </c>
      <c r="D1604" s="15">
        <v>37</v>
      </c>
      <c r="E1604" t="str">
        <f t="shared" si="25"/>
        <v>1207-249795-44760</v>
      </c>
    </row>
    <row r="1605" spans="1:5" ht="14.25" customHeight="1">
      <c r="A1605" s="13">
        <v>1207</v>
      </c>
      <c r="B1605" s="13">
        <v>249795</v>
      </c>
      <c r="C1605" s="14">
        <v>44767</v>
      </c>
      <c r="D1605" s="15">
        <v>24</v>
      </c>
      <c r="E1605" t="str">
        <f t="shared" si="25"/>
        <v>1207-249795-44767</v>
      </c>
    </row>
    <row r="1606" spans="1:5" ht="14.25" customHeight="1">
      <c r="A1606" s="13">
        <v>1207</v>
      </c>
      <c r="B1606" s="13">
        <v>249795</v>
      </c>
      <c r="C1606" s="14">
        <v>44774</v>
      </c>
      <c r="D1606" s="15">
        <v>13</v>
      </c>
      <c r="E1606" t="str">
        <f t="shared" si="25"/>
        <v>1207-249795-44774</v>
      </c>
    </row>
    <row r="1607" spans="1:5" ht="14.25" customHeight="1">
      <c r="A1607" s="13">
        <v>1207</v>
      </c>
      <c r="B1607" s="13">
        <v>249795</v>
      </c>
      <c r="C1607" s="14">
        <v>44781</v>
      </c>
      <c r="D1607" s="15">
        <v>29</v>
      </c>
      <c r="E1607" t="str">
        <f t="shared" si="25"/>
        <v>1207-249795-44781</v>
      </c>
    </row>
    <row r="1608" spans="1:5" ht="14.25" customHeight="1">
      <c r="A1608" s="13">
        <v>1207</v>
      </c>
      <c r="B1608" s="13">
        <v>249795</v>
      </c>
      <c r="C1608" s="14">
        <v>44788</v>
      </c>
      <c r="D1608" s="15">
        <v>36</v>
      </c>
      <c r="E1608" t="str">
        <f t="shared" si="25"/>
        <v>1207-249795-44788</v>
      </c>
    </row>
    <row r="1609" spans="1:5" ht="14.25" customHeight="1">
      <c r="A1609" s="13">
        <v>1207</v>
      </c>
      <c r="B1609" s="13">
        <v>250979</v>
      </c>
      <c r="C1609" s="14">
        <v>44739</v>
      </c>
      <c r="D1609" s="15">
        <v>34</v>
      </c>
      <c r="E1609" t="str">
        <f t="shared" si="25"/>
        <v>1207-250979-44739</v>
      </c>
    </row>
    <row r="1610" spans="1:5" ht="14.25" customHeight="1">
      <c r="A1610" s="13">
        <v>1207</v>
      </c>
      <c r="B1610" s="13">
        <v>250979</v>
      </c>
      <c r="C1610" s="14">
        <v>44746</v>
      </c>
      <c r="D1610" s="15">
        <v>39</v>
      </c>
      <c r="E1610" t="str">
        <f t="shared" si="25"/>
        <v>1207-250979-44746</v>
      </c>
    </row>
    <row r="1611" spans="1:5" ht="14.25" customHeight="1">
      <c r="A1611" s="13">
        <v>1207</v>
      </c>
      <c r="B1611" s="13">
        <v>250979</v>
      </c>
      <c r="C1611" s="14">
        <v>44753</v>
      </c>
      <c r="D1611" s="15">
        <v>25</v>
      </c>
      <c r="E1611" t="str">
        <f t="shared" si="25"/>
        <v>1207-250979-44753</v>
      </c>
    </row>
    <row r="1612" spans="1:5" ht="14.25" customHeight="1">
      <c r="A1612" s="13">
        <v>1207</v>
      </c>
      <c r="B1612" s="13">
        <v>250979</v>
      </c>
      <c r="C1612" s="14">
        <v>44760</v>
      </c>
      <c r="D1612" s="15">
        <v>36</v>
      </c>
      <c r="E1612" t="str">
        <f t="shared" si="25"/>
        <v>1207-250979-44760</v>
      </c>
    </row>
    <row r="1613" spans="1:5" ht="14.25" customHeight="1">
      <c r="A1613" s="13">
        <v>1207</v>
      </c>
      <c r="B1613" s="13">
        <v>250979</v>
      </c>
      <c r="C1613" s="14">
        <v>44767</v>
      </c>
      <c r="D1613" s="15">
        <v>41</v>
      </c>
      <c r="E1613" t="str">
        <f t="shared" si="25"/>
        <v>1207-250979-44767</v>
      </c>
    </row>
    <row r="1614" spans="1:5" ht="14.25" customHeight="1">
      <c r="A1614" s="13">
        <v>1207</v>
      </c>
      <c r="B1614" s="13">
        <v>250979</v>
      </c>
      <c r="C1614" s="14">
        <v>44774</v>
      </c>
      <c r="D1614" s="15">
        <v>33</v>
      </c>
      <c r="E1614" t="str">
        <f t="shared" si="25"/>
        <v>1207-250979-44774</v>
      </c>
    </row>
    <row r="1615" spans="1:5" ht="14.25" customHeight="1">
      <c r="A1615" s="13">
        <v>1207</v>
      </c>
      <c r="B1615" s="13">
        <v>250979</v>
      </c>
      <c r="C1615" s="14">
        <v>44781</v>
      </c>
      <c r="D1615" s="15">
        <v>38</v>
      </c>
      <c r="E1615" t="str">
        <f t="shared" si="25"/>
        <v>1207-250979-44781</v>
      </c>
    </row>
    <row r="1616" spans="1:5" ht="14.25" customHeight="1">
      <c r="A1616" s="13">
        <v>1207</v>
      </c>
      <c r="B1616" s="13">
        <v>250979</v>
      </c>
      <c r="C1616" s="14">
        <v>44788</v>
      </c>
      <c r="D1616" s="15">
        <v>41</v>
      </c>
      <c r="E1616" t="str">
        <f t="shared" si="25"/>
        <v>1207-250979-44788</v>
      </c>
    </row>
    <row r="1617" spans="1:5" ht="14.25" customHeight="1">
      <c r="A1617" s="13">
        <v>1207</v>
      </c>
      <c r="B1617" s="13">
        <v>250981</v>
      </c>
      <c r="C1617" s="14">
        <v>44739</v>
      </c>
      <c r="D1617" s="15">
        <v>21</v>
      </c>
      <c r="E1617" t="str">
        <f t="shared" si="25"/>
        <v>1207-250981-44739</v>
      </c>
    </row>
    <row r="1618" spans="1:5" ht="14.25" customHeight="1">
      <c r="A1618" s="13">
        <v>1207</v>
      </c>
      <c r="B1618" s="13">
        <v>250981</v>
      </c>
      <c r="C1618" s="14">
        <v>44746</v>
      </c>
      <c r="D1618" s="15">
        <v>40</v>
      </c>
      <c r="E1618" t="str">
        <f t="shared" si="25"/>
        <v>1207-250981-44746</v>
      </c>
    </row>
    <row r="1619" spans="1:5" ht="14.25" customHeight="1">
      <c r="A1619" s="13">
        <v>1207</v>
      </c>
      <c r="B1619" s="13">
        <v>250981</v>
      </c>
      <c r="C1619" s="14">
        <v>44753</v>
      </c>
      <c r="D1619" s="15">
        <v>14</v>
      </c>
      <c r="E1619" t="str">
        <f t="shared" si="25"/>
        <v>1207-250981-44753</v>
      </c>
    </row>
    <row r="1620" spans="1:5" ht="14.25" customHeight="1">
      <c r="A1620" s="13">
        <v>1207</v>
      </c>
      <c r="B1620" s="13">
        <v>250981</v>
      </c>
      <c r="C1620" s="14">
        <v>44760</v>
      </c>
      <c r="D1620" s="15">
        <v>10</v>
      </c>
      <c r="E1620" t="str">
        <f t="shared" si="25"/>
        <v>1207-250981-44760</v>
      </c>
    </row>
    <row r="1621" spans="1:5" ht="14.25" customHeight="1">
      <c r="A1621" s="13">
        <v>1207</v>
      </c>
      <c r="B1621" s="13">
        <v>250981</v>
      </c>
      <c r="C1621" s="14">
        <v>44767</v>
      </c>
      <c r="D1621" s="15">
        <v>21</v>
      </c>
      <c r="E1621" t="str">
        <f t="shared" si="25"/>
        <v>1207-250981-44767</v>
      </c>
    </row>
    <row r="1622" spans="1:5" ht="14.25" customHeight="1">
      <c r="A1622" s="13">
        <v>1207</v>
      </c>
      <c r="B1622" s="13">
        <v>250981</v>
      </c>
      <c r="C1622" s="14">
        <v>44774</v>
      </c>
      <c r="D1622" s="15">
        <v>45</v>
      </c>
      <c r="E1622" t="str">
        <f t="shared" si="25"/>
        <v>1207-250981-44774</v>
      </c>
    </row>
    <row r="1623" spans="1:5" ht="14.25" customHeight="1">
      <c r="A1623" s="13">
        <v>1207</v>
      </c>
      <c r="B1623" s="13">
        <v>250981</v>
      </c>
      <c r="C1623" s="14">
        <v>44781</v>
      </c>
      <c r="D1623" s="15">
        <v>48</v>
      </c>
      <c r="E1623" t="str">
        <f t="shared" si="25"/>
        <v>1207-250981-44781</v>
      </c>
    </row>
    <row r="1624" spans="1:5" ht="14.25" customHeight="1">
      <c r="A1624" s="13">
        <v>1207</v>
      </c>
      <c r="B1624" s="13">
        <v>250981</v>
      </c>
      <c r="C1624" s="14">
        <v>44788</v>
      </c>
      <c r="D1624" s="15">
        <v>8</v>
      </c>
      <c r="E1624" t="str">
        <f t="shared" si="25"/>
        <v>1207-250981-44788</v>
      </c>
    </row>
    <row r="1625" spans="1:5" ht="14.25" customHeight="1">
      <c r="A1625" s="13">
        <v>1207</v>
      </c>
      <c r="B1625" s="13">
        <v>262294</v>
      </c>
      <c r="C1625" s="14">
        <v>44739</v>
      </c>
      <c r="D1625" s="15">
        <v>6</v>
      </c>
      <c r="E1625" t="str">
        <f t="shared" si="25"/>
        <v>1207-262294-44739</v>
      </c>
    </row>
    <row r="1626" spans="1:5" ht="14.25" customHeight="1">
      <c r="A1626" s="13">
        <v>1207</v>
      </c>
      <c r="B1626" s="13">
        <v>262294</v>
      </c>
      <c r="C1626" s="14">
        <v>44746</v>
      </c>
      <c r="D1626" s="15">
        <v>7</v>
      </c>
      <c r="E1626" t="str">
        <f t="shared" si="25"/>
        <v>1207-262294-44746</v>
      </c>
    </row>
    <row r="1627" spans="1:5" ht="14.25" customHeight="1">
      <c r="A1627" s="13">
        <v>1207</v>
      </c>
      <c r="B1627" s="13">
        <v>262294</v>
      </c>
      <c r="C1627" s="14">
        <v>44753</v>
      </c>
      <c r="D1627" s="15">
        <v>19</v>
      </c>
      <c r="E1627" t="str">
        <f t="shared" si="25"/>
        <v>1207-262294-44753</v>
      </c>
    </row>
    <row r="1628" spans="1:5" ht="14.25" customHeight="1">
      <c r="A1628" s="13">
        <v>1207</v>
      </c>
      <c r="B1628" s="13">
        <v>262294</v>
      </c>
      <c r="C1628" s="14">
        <v>44760</v>
      </c>
      <c r="D1628" s="15">
        <v>15</v>
      </c>
      <c r="E1628" t="str">
        <f t="shared" si="25"/>
        <v>1207-262294-44760</v>
      </c>
    </row>
    <row r="1629" spans="1:5" ht="14.25" customHeight="1">
      <c r="A1629" s="13">
        <v>1207</v>
      </c>
      <c r="B1629" s="13">
        <v>262294</v>
      </c>
      <c r="C1629" s="14">
        <v>44767</v>
      </c>
      <c r="D1629" s="15">
        <v>16</v>
      </c>
      <c r="E1629" t="str">
        <f t="shared" si="25"/>
        <v>1207-262294-44767</v>
      </c>
    </row>
    <row r="1630" spans="1:5" ht="14.25" customHeight="1">
      <c r="A1630" s="13">
        <v>1207</v>
      </c>
      <c r="B1630" s="13">
        <v>262294</v>
      </c>
      <c r="C1630" s="14">
        <v>44774</v>
      </c>
      <c r="D1630" s="15">
        <v>6</v>
      </c>
      <c r="E1630" t="str">
        <f t="shared" si="25"/>
        <v>1207-262294-44774</v>
      </c>
    </row>
    <row r="1631" spans="1:5" ht="14.25" customHeight="1">
      <c r="A1631" s="13">
        <v>1207</v>
      </c>
      <c r="B1631" s="13">
        <v>262294</v>
      </c>
      <c r="C1631" s="14">
        <v>44781</v>
      </c>
      <c r="D1631" s="15">
        <v>9</v>
      </c>
      <c r="E1631" t="str">
        <f t="shared" si="25"/>
        <v>1207-262294-44781</v>
      </c>
    </row>
    <row r="1632" spans="1:5" ht="14.25" customHeight="1">
      <c r="A1632" s="13">
        <v>1207</v>
      </c>
      <c r="B1632" s="13">
        <v>262294</v>
      </c>
      <c r="C1632" s="14">
        <v>44788</v>
      </c>
      <c r="D1632" s="15">
        <v>15</v>
      </c>
      <c r="E1632" t="str">
        <f t="shared" si="25"/>
        <v>1207-262294-44788</v>
      </c>
    </row>
    <row r="1633" spans="1:5" ht="14.25" customHeight="1">
      <c r="A1633" s="13">
        <v>1207</v>
      </c>
      <c r="B1633" s="13">
        <v>268831</v>
      </c>
      <c r="C1633" s="14">
        <v>44739</v>
      </c>
      <c r="D1633" s="15">
        <v>814</v>
      </c>
      <c r="E1633" t="str">
        <f t="shared" si="25"/>
        <v>1207-268831-44739</v>
      </c>
    </row>
    <row r="1634" spans="1:5" ht="14.25" customHeight="1">
      <c r="A1634" s="13">
        <v>1207</v>
      </c>
      <c r="B1634" s="13">
        <v>268831</v>
      </c>
      <c r="C1634" s="14">
        <v>44746</v>
      </c>
      <c r="D1634" s="15">
        <v>317</v>
      </c>
      <c r="E1634" t="str">
        <f t="shared" si="25"/>
        <v>1207-268831-44746</v>
      </c>
    </row>
    <row r="1635" spans="1:5" ht="14.25" customHeight="1">
      <c r="A1635" s="13">
        <v>1207</v>
      </c>
      <c r="B1635" s="13">
        <v>268831</v>
      </c>
      <c r="C1635" s="14">
        <v>44753</v>
      </c>
      <c r="D1635" s="15">
        <v>854</v>
      </c>
      <c r="E1635" t="str">
        <f t="shared" si="25"/>
        <v>1207-268831-44753</v>
      </c>
    </row>
    <row r="1636" spans="1:5" ht="14.25" customHeight="1">
      <c r="A1636" s="13">
        <v>1207</v>
      </c>
      <c r="B1636" s="13">
        <v>268831</v>
      </c>
      <c r="C1636" s="14">
        <v>44760</v>
      </c>
      <c r="D1636" s="15">
        <v>772</v>
      </c>
      <c r="E1636" t="str">
        <f t="shared" si="25"/>
        <v>1207-268831-44760</v>
      </c>
    </row>
    <row r="1637" spans="1:5" ht="14.25" customHeight="1">
      <c r="A1637" s="13">
        <v>1207</v>
      </c>
      <c r="B1637" s="13">
        <v>268831</v>
      </c>
      <c r="C1637" s="14">
        <v>44767</v>
      </c>
      <c r="D1637" s="15">
        <v>425</v>
      </c>
      <c r="E1637" t="str">
        <f t="shared" si="25"/>
        <v>1207-268831-44767</v>
      </c>
    </row>
    <row r="1638" spans="1:5" ht="14.25" customHeight="1">
      <c r="A1638" s="13">
        <v>1207</v>
      </c>
      <c r="B1638" s="13">
        <v>268831</v>
      </c>
      <c r="C1638" s="14">
        <v>44774</v>
      </c>
      <c r="D1638" s="15">
        <v>972</v>
      </c>
      <c r="E1638" t="str">
        <f t="shared" si="25"/>
        <v>1207-268831-44774</v>
      </c>
    </row>
    <row r="1639" spans="1:5" ht="14.25" customHeight="1">
      <c r="A1639" s="13">
        <v>1207</v>
      </c>
      <c r="B1639" s="13">
        <v>268831</v>
      </c>
      <c r="C1639" s="14">
        <v>44781</v>
      </c>
      <c r="D1639" s="15">
        <v>802</v>
      </c>
      <c r="E1639" t="str">
        <f t="shared" si="25"/>
        <v>1207-268831-44781</v>
      </c>
    </row>
    <row r="1640" spans="1:5" ht="14.25" customHeight="1">
      <c r="A1640" s="13">
        <v>1207</v>
      </c>
      <c r="B1640" s="13">
        <v>268831</v>
      </c>
      <c r="C1640" s="14">
        <v>44788</v>
      </c>
      <c r="D1640" s="15">
        <v>756</v>
      </c>
      <c r="E1640" t="str">
        <f t="shared" si="25"/>
        <v>1207-268831-44788</v>
      </c>
    </row>
    <row r="1641" spans="1:5" ht="14.25" customHeight="1">
      <c r="A1641" s="13">
        <v>1207</v>
      </c>
      <c r="B1641" s="13">
        <v>273701</v>
      </c>
      <c r="C1641" s="14">
        <v>44739</v>
      </c>
      <c r="D1641" s="15">
        <v>6</v>
      </c>
      <c r="E1641" t="str">
        <f t="shared" si="25"/>
        <v>1207-273701-44739</v>
      </c>
    </row>
    <row r="1642" spans="1:5" ht="14.25" customHeight="1">
      <c r="A1642" s="13">
        <v>1207</v>
      </c>
      <c r="B1642" s="13">
        <v>273701</v>
      </c>
      <c r="C1642" s="14">
        <v>44746</v>
      </c>
      <c r="D1642" s="15">
        <v>6</v>
      </c>
      <c r="E1642" t="str">
        <f t="shared" si="25"/>
        <v>1207-273701-44746</v>
      </c>
    </row>
    <row r="1643" spans="1:5" ht="14.25" customHeight="1">
      <c r="A1643" s="13">
        <v>1207</v>
      </c>
      <c r="B1643" s="13">
        <v>273701</v>
      </c>
      <c r="C1643" s="14">
        <v>44753</v>
      </c>
      <c r="D1643" s="15">
        <v>6</v>
      </c>
      <c r="E1643" t="str">
        <f t="shared" si="25"/>
        <v>1207-273701-44753</v>
      </c>
    </row>
    <row r="1644" spans="1:5" ht="14.25" customHeight="1">
      <c r="A1644" s="13">
        <v>1207</v>
      </c>
      <c r="B1644" s="13">
        <v>273701</v>
      </c>
      <c r="C1644" s="14">
        <v>44760</v>
      </c>
      <c r="D1644" s="15">
        <v>6</v>
      </c>
      <c r="E1644" t="str">
        <f t="shared" si="25"/>
        <v>1207-273701-44760</v>
      </c>
    </row>
    <row r="1645" spans="1:5" ht="14.25" customHeight="1">
      <c r="A1645" s="13">
        <v>1207</v>
      </c>
      <c r="B1645" s="13">
        <v>273701</v>
      </c>
      <c r="C1645" s="14">
        <v>44767</v>
      </c>
      <c r="D1645" s="15">
        <v>6</v>
      </c>
      <c r="E1645" t="str">
        <f t="shared" si="25"/>
        <v>1207-273701-44767</v>
      </c>
    </row>
    <row r="1646" spans="1:5" ht="14.25" customHeight="1">
      <c r="A1646" s="13">
        <v>1207</v>
      </c>
      <c r="B1646" s="13">
        <v>273701</v>
      </c>
      <c r="C1646" s="14">
        <v>44774</v>
      </c>
      <c r="D1646" s="15">
        <v>6</v>
      </c>
      <c r="E1646" t="str">
        <f t="shared" si="25"/>
        <v>1207-273701-44774</v>
      </c>
    </row>
    <row r="1647" spans="1:5" ht="14.25" customHeight="1">
      <c r="A1647" s="13">
        <v>1207</v>
      </c>
      <c r="B1647" s="13">
        <v>273701</v>
      </c>
      <c r="C1647" s="14">
        <v>44781</v>
      </c>
      <c r="D1647" s="15">
        <v>6</v>
      </c>
      <c r="E1647" t="str">
        <f t="shared" si="25"/>
        <v>1207-273701-44781</v>
      </c>
    </row>
    <row r="1648" spans="1:5" ht="14.25" customHeight="1">
      <c r="A1648" s="13">
        <v>1207</v>
      </c>
      <c r="B1648" s="13">
        <v>273701</v>
      </c>
      <c r="C1648" s="14">
        <v>44788</v>
      </c>
      <c r="D1648" s="15">
        <v>6</v>
      </c>
      <c r="E1648" t="str">
        <f t="shared" si="25"/>
        <v>1207-273701-44788</v>
      </c>
    </row>
    <row r="1649" spans="1:5" ht="14.25" customHeight="1">
      <c r="A1649" s="13">
        <v>1207</v>
      </c>
      <c r="B1649" s="13">
        <v>291726</v>
      </c>
      <c r="C1649" s="14">
        <v>44739</v>
      </c>
      <c r="D1649" s="15">
        <v>69</v>
      </c>
      <c r="E1649" t="str">
        <f t="shared" si="25"/>
        <v>1207-291726-44739</v>
      </c>
    </row>
    <row r="1650" spans="1:5" ht="14.25" customHeight="1">
      <c r="A1650" s="13">
        <v>1207</v>
      </c>
      <c r="B1650" s="13">
        <v>291726</v>
      </c>
      <c r="C1650" s="14">
        <v>44746</v>
      </c>
      <c r="D1650" s="15">
        <v>69</v>
      </c>
      <c r="E1650" t="str">
        <f t="shared" si="25"/>
        <v>1207-291726-44746</v>
      </c>
    </row>
    <row r="1651" spans="1:5" ht="14.25" customHeight="1">
      <c r="A1651" s="13">
        <v>1207</v>
      </c>
      <c r="B1651" s="13">
        <v>291726</v>
      </c>
      <c r="C1651" s="14">
        <v>44753</v>
      </c>
      <c r="D1651" s="15">
        <v>30</v>
      </c>
      <c r="E1651" t="str">
        <f t="shared" si="25"/>
        <v>1207-291726-44753</v>
      </c>
    </row>
    <row r="1652" spans="1:5" ht="14.25" customHeight="1">
      <c r="A1652" s="13">
        <v>1207</v>
      </c>
      <c r="B1652" s="13">
        <v>291726</v>
      </c>
      <c r="C1652" s="14">
        <v>44760</v>
      </c>
      <c r="D1652" s="15">
        <v>69</v>
      </c>
      <c r="E1652" t="str">
        <f t="shared" si="25"/>
        <v>1207-291726-44760</v>
      </c>
    </row>
    <row r="1653" spans="1:5" ht="14.25" customHeight="1">
      <c r="A1653" s="13">
        <v>1207</v>
      </c>
      <c r="B1653" s="13">
        <v>291726</v>
      </c>
      <c r="C1653" s="14">
        <v>44767</v>
      </c>
      <c r="D1653" s="15">
        <v>24</v>
      </c>
      <c r="E1653" t="str">
        <f t="shared" si="25"/>
        <v>1207-291726-44767</v>
      </c>
    </row>
    <row r="1654" spans="1:5" ht="14.25" customHeight="1">
      <c r="A1654" s="13">
        <v>1207</v>
      </c>
      <c r="B1654" s="13">
        <v>291726</v>
      </c>
      <c r="C1654" s="14">
        <v>44774</v>
      </c>
      <c r="D1654" s="15">
        <v>54</v>
      </c>
      <c r="E1654" t="str">
        <f t="shared" si="25"/>
        <v>1207-291726-44774</v>
      </c>
    </row>
    <row r="1655" spans="1:5" ht="14.25" customHeight="1">
      <c r="A1655" s="13">
        <v>1207</v>
      </c>
      <c r="B1655" s="13">
        <v>291726</v>
      </c>
      <c r="C1655" s="14">
        <v>44781</v>
      </c>
      <c r="D1655" s="15">
        <v>72</v>
      </c>
      <c r="E1655" t="str">
        <f t="shared" si="25"/>
        <v>1207-291726-44781</v>
      </c>
    </row>
    <row r="1656" spans="1:5" ht="14.25" customHeight="1">
      <c r="A1656" s="13">
        <v>1207</v>
      </c>
      <c r="B1656" s="13">
        <v>291726</v>
      </c>
      <c r="C1656" s="14">
        <v>44788</v>
      </c>
      <c r="D1656" s="15">
        <v>19</v>
      </c>
      <c r="E1656" t="str">
        <f t="shared" si="25"/>
        <v>1207-291726-44788</v>
      </c>
    </row>
    <row r="1657" spans="1:5" ht="14.25" customHeight="1">
      <c r="A1657" s="13">
        <v>1207</v>
      </c>
      <c r="B1657" s="13">
        <v>291728</v>
      </c>
      <c r="C1657" s="14">
        <v>44739</v>
      </c>
      <c r="D1657" s="15">
        <v>35</v>
      </c>
      <c r="E1657" t="str">
        <f t="shared" si="25"/>
        <v>1207-291728-44739</v>
      </c>
    </row>
    <row r="1658" spans="1:5" ht="14.25" customHeight="1">
      <c r="A1658" s="13">
        <v>1207</v>
      </c>
      <c r="B1658" s="13">
        <v>291728</v>
      </c>
      <c r="C1658" s="14">
        <v>44746</v>
      </c>
      <c r="D1658" s="15">
        <v>156</v>
      </c>
      <c r="E1658" t="str">
        <f t="shared" si="25"/>
        <v>1207-291728-44746</v>
      </c>
    </row>
    <row r="1659" spans="1:5" ht="14.25" customHeight="1">
      <c r="A1659" s="13">
        <v>1207</v>
      </c>
      <c r="B1659" s="13">
        <v>291728</v>
      </c>
      <c r="C1659" s="14">
        <v>44753</v>
      </c>
      <c r="D1659" s="15">
        <v>150</v>
      </c>
      <c r="E1659" t="str">
        <f t="shared" si="25"/>
        <v>1207-291728-44753</v>
      </c>
    </row>
    <row r="1660" spans="1:5" ht="14.25" customHeight="1">
      <c r="A1660" s="13">
        <v>1207</v>
      </c>
      <c r="B1660" s="13">
        <v>291728</v>
      </c>
      <c r="C1660" s="14">
        <v>44760</v>
      </c>
      <c r="D1660" s="15">
        <v>171</v>
      </c>
      <c r="E1660" t="str">
        <f t="shared" si="25"/>
        <v>1207-291728-44760</v>
      </c>
    </row>
    <row r="1661" spans="1:5" ht="14.25" customHeight="1">
      <c r="A1661" s="13">
        <v>1207</v>
      </c>
      <c r="B1661" s="13">
        <v>291728</v>
      </c>
      <c r="C1661" s="14">
        <v>44767</v>
      </c>
      <c r="D1661" s="15">
        <v>37</v>
      </c>
      <c r="E1661" t="str">
        <f t="shared" si="25"/>
        <v>1207-291728-44767</v>
      </c>
    </row>
    <row r="1662" spans="1:5" ht="14.25" customHeight="1">
      <c r="A1662" s="13">
        <v>1207</v>
      </c>
      <c r="B1662" s="13">
        <v>291728</v>
      </c>
      <c r="C1662" s="14">
        <v>44774</v>
      </c>
      <c r="D1662" s="15">
        <v>130</v>
      </c>
      <c r="E1662" t="str">
        <f t="shared" si="25"/>
        <v>1207-291728-44774</v>
      </c>
    </row>
    <row r="1663" spans="1:5" ht="14.25" customHeight="1">
      <c r="A1663" s="13">
        <v>1207</v>
      </c>
      <c r="B1663" s="13">
        <v>291728</v>
      </c>
      <c r="C1663" s="14">
        <v>44781</v>
      </c>
      <c r="D1663" s="15">
        <v>133</v>
      </c>
      <c r="E1663" t="str">
        <f t="shared" si="25"/>
        <v>1207-291728-44781</v>
      </c>
    </row>
    <row r="1664" spans="1:5" ht="14.25" customHeight="1">
      <c r="A1664" s="13">
        <v>1207</v>
      </c>
      <c r="B1664" s="13">
        <v>291728</v>
      </c>
      <c r="C1664" s="14">
        <v>44788</v>
      </c>
      <c r="D1664" s="15">
        <v>126</v>
      </c>
      <c r="E1664" t="str">
        <f t="shared" si="25"/>
        <v>1207-291728-44788</v>
      </c>
    </row>
    <row r="1665" spans="1:5" ht="14.25" customHeight="1">
      <c r="A1665" s="13">
        <v>1207</v>
      </c>
      <c r="B1665" s="13">
        <v>300380</v>
      </c>
      <c r="C1665" s="14">
        <v>44739</v>
      </c>
      <c r="D1665" s="15">
        <v>17</v>
      </c>
      <c r="E1665" t="str">
        <f t="shared" si="25"/>
        <v>1207-300380-44739</v>
      </c>
    </row>
    <row r="1666" spans="1:5" ht="14.25" customHeight="1">
      <c r="A1666" s="13">
        <v>1207</v>
      </c>
      <c r="B1666" s="13">
        <v>300380</v>
      </c>
      <c r="C1666" s="14">
        <v>44746</v>
      </c>
      <c r="D1666" s="15">
        <v>18</v>
      </c>
      <c r="E1666" t="str">
        <f t="shared" si="25"/>
        <v>1207-300380-44746</v>
      </c>
    </row>
    <row r="1667" spans="1:5" ht="14.25" customHeight="1">
      <c r="A1667" s="13">
        <v>1207</v>
      </c>
      <c r="B1667" s="13">
        <v>300380</v>
      </c>
      <c r="C1667" s="14">
        <v>44753</v>
      </c>
      <c r="D1667" s="15">
        <v>53</v>
      </c>
      <c r="E1667" t="str">
        <f t="shared" ref="E1667:E1730" si="26">A1667&amp;"-"&amp;B1667&amp;"-"&amp;INT(C1667)</f>
        <v>1207-300380-44753</v>
      </c>
    </row>
    <row r="1668" spans="1:5" ht="14.25" customHeight="1">
      <c r="A1668" s="13">
        <v>1207</v>
      </c>
      <c r="B1668" s="13">
        <v>300380</v>
      </c>
      <c r="C1668" s="14">
        <v>44760</v>
      </c>
      <c r="D1668" s="15">
        <v>67</v>
      </c>
      <c r="E1668" t="str">
        <f t="shared" si="26"/>
        <v>1207-300380-44760</v>
      </c>
    </row>
    <row r="1669" spans="1:5" ht="14.25" customHeight="1">
      <c r="A1669" s="13">
        <v>1207</v>
      </c>
      <c r="B1669" s="13">
        <v>300380</v>
      </c>
      <c r="C1669" s="14">
        <v>44767</v>
      </c>
      <c r="D1669" s="15">
        <v>19</v>
      </c>
      <c r="E1669" t="str">
        <f t="shared" si="26"/>
        <v>1207-300380-44767</v>
      </c>
    </row>
    <row r="1670" spans="1:5" ht="14.25" customHeight="1">
      <c r="A1670" s="13">
        <v>1207</v>
      </c>
      <c r="B1670" s="13">
        <v>300380</v>
      </c>
      <c r="C1670" s="14">
        <v>44774</v>
      </c>
      <c r="D1670" s="15">
        <v>60</v>
      </c>
      <c r="E1670" t="str">
        <f t="shared" si="26"/>
        <v>1207-300380-44774</v>
      </c>
    </row>
    <row r="1671" spans="1:5" ht="14.25" customHeight="1">
      <c r="A1671" s="13">
        <v>1207</v>
      </c>
      <c r="B1671" s="13">
        <v>300380</v>
      </c>
      <c r="C1671" s="14">
        <v>44781</v>
      </c>
      <c r="D1671" s="15">
        <v>24</v>
      </c>
      <c r="E1671" t="str">
        <f t="shared" si="26"/>
        <v>1207-300380-44781</v>
      </c>
    </row>
    <row r="1672" spans="1:5" ht="14.25" customHeight="1">
      <c r="A1672" s="13">
        <v>1207</v>
      </c>
      <c r="B1672" s="13">
        <v>300380</v>
      </c>
      <c r="C1672" s="14">
        <v>44788</v>
      </c>
      <c r="D1672" s="15">
        <v>20</v>
      </c>
      <c r="E1672" t="str">
        <f t="shared" si="26"/>
        <v>1207-300380-44788</v>
      </c>
    </row>
    <row r="1673" spans="1:5" ht="14.25" customHeight="1">
      <c r="A1673" s="13">
        <v>1207</v>
      </c>
      <c r="B1673" s="13">
        <v>571521</v>
      </c>
      <c r="C1673" s="14">
        <v>44739</v>
      </c>
      <c r="D1673" s="15">
        <v>1608</v>
      </c>
      <c r="E1673" t="str">
        <f t="shared" si="26"/>
        <v>1207-571521-44739</v>
      </c>
    </row>
    <row r="1674" spans="1:5" ht="14.25" customHeight="1">
      <c r="A1674" s="13">
        <v>1207</v>
      </c>
      <c r="B1674" s="13">
        <v>571521</v>
      </c>
      <c r="C1674" s="14">
        <v>44746</v>
      </c>
      <c r="D1674" s="15">
        <v>500</v>
      </c>
      <c r="E1674" t="str">
        <f t="shared" si="26"/>
        <v>1207-571521-44746</v>
      </c>
    </row>
    <row r="1675" spans="1:5" ht="14.25" customHeight="1">
      <c r="A1675" s="13">
        <v>1207</v>
      </c>
      <c r="B1675" s="13">
        <v>571521</v>
      </c>
      <c r="C1675" s="14">
        <v>44753</v>
      </c>
      <c r="D1675" s="15">
        <v>1979</v>
      </c>
      <c r="E1675" t="str">
        <f t="shared" si="26"/>
        <v>1207-571521-44753</v>
      </c>
    </row>
    <row r="1676" spans="1:5" ht="14.25" customHeight="1">
      <c r="A1676" s="13">
        <v>1207</v>
      </c>
      <c r="B1676" s="13">
        <v>571521</v>
      </c>
      <c r="C1676" s="14">
        <v>44760</v>
      </c>
      <c r="D1676" s="15">
        <v>1646</v>
      </c>
      <c r="E1676" t="str">
        <f t="shared" si="26"/>
        <v>1207-571521-44760</v>
      </c>
    </row>
    <row r="1677" spans="1:5" ht="14.25" customHeight="1">
      <c r="A1677" s="13">
        <v>1207</v>
      </c>
      <c r="B1677" s="13">
        <v>571521</v>
      </c>
      <c r="C1677" s="14">
        <v>44767</v>
      </c>
      <c r="D1677" s="15">
        <v>1993</v>
      </c>
      <c r="E1677" t="str">
        <f t="shared" si="26"/>
        <v>1207-571521-44767</v>
      </c>
    </row>
    <row r="1678" spans="1:5" ht="14.25" customHeight="1">
      <c r="A1678" s="13">
        <v>1207</v>
      </c>
      <c r="B1678" s="13">
        <v>571521</v>
      </c>
      <c r="C1678" s="14">
        <v>44774</v>
      </c>
      <c r="D1678" s="15">
        <v>501</v>
      </c>
      <c r="E1678" t="str">
        <f t="shared" si="26"/>
        <v>1207-571521-44774</v>
      </c>
    </row>
    <row r="1679" spans="1:5" ht="14.25" customHeight="1">
      <c r="A1679" s="13">
        <v>1207</v>
      </c>
      <c r="B1679" s="13">
        <v>571521</v>
      </c>
      <c r="C1679" s="14">
        <v>44781</v>
      </c>
      <c r="D1679" s="15">
        <v>1534</v>
      </c>
      <c r="E1679" t="str">
        <f t="shared" si="26"/>
        <v>1207-571521-44781</v>
      </c>
    </row>
    <row r="1680" spans="1:5" ht="14.25" customHeight="1">
      <c r="A1680" s="13">
        <v>1207</v>
      </c>
      <c r="B1680" s="13">
        <v>571521</v>
      </c>
      <c r="C1680" s="14">
        <v>44788</v>
      </c>
      <c r="D1680" s="15">
        <v>1121</v>
      </c>
      <c r="E1680" t="str">
        <f t="shared" si="26"/>
        <v>1207-571521-44788</v>
      </c>
    </row>
    <row r="1681" spans="1:5" ht="14.25" customHeight="1">
      <c r="A1681" s="13">
        <v>1207</v>
      </c>
      <c r="B1681" s="13">
        <v>614993</v>
      </c>
      <c r="C1681" s="14">
        <v>44739</v>
      </c>
      <c r="D1681" s="15">
        <v>188</v>
      </c>
      <c r="E1681" t="str">
        <f t="shared" si="26"/>
        <v>1207-614993-44739</v>
      </c>
    </row>
    <row r="1682" spans="1:5" ht="14.25" customHeight="1">
      <c r="A1682" s="13">
        <v>1207</v>
      </c>
      <c r="B1682" s="13">
        <v>614993</v>
      </c>
      <c r="C1682" s="14">
        <v>44746</v>
      </c>
      <c r="D1682" s="15">
        <v>192</v>
      </c>
      <c r="E1682" t="str">
        <f t="shared" si="26"/>
        <v>1207-614993-44746</v>
      </c>
    </row>
    <row r="1683" spans="1:5" ht="14.25" customHeight="1">
      <c r="A1683" s="13">
        <v>1207</v>
      </c>
      <c r="B1683" s="13">
        <v>614993</v>
      </c>
      <c r="C1683" s="14">
        <v>44753</v>
      </c>
      <c r="D1683" s="15">
        <v>81</v>
      </c>
      <c r="E1683" t="str">
        <f t="shared" si="26"/>
        <v>1207-614993-44753</v>
      </c>
    </row>
    <row r="1684" spans="1:5" ht="14.25" customHeight="1">
      <c r="A1684" s="13">
        <v>1207</v>
      </c>
      <c r="B1684" s="13">
        <v>614993</v>
      </c>
      <c r="C1684" s="14">
        <v>44760</v>
      </c>
      <c r="D1684" s="15">
        <v>185</v>
      </c>
      <c r="E1684" t="str">
        <f t="shared" si="26"/>
        <v>1207-614993-44760</v>
      </c>
    </row>
    <row r="1685" spans="1:5" ht="14.25" customHeight="1">
      <c r="A1685" s="13">
        <v>1207</v>
      </c>
      <c r="B1685" s="13">
        <v>614993</v>
      </c>
      <c r="C1685" s="14">
        <v>44767</v>
      </c>
      <c r="D1685" s="15">
        <v>80</v>
      </c>
      <c r="E1685" t="str">
        <f t="shared" si="26"/>
        <v>1207-614993-44767</v>
      </c>
    </row>
    <row r="1686" spans="1:5" ht="14.25" customHeight="1">
      <c r="A1686" s="13">
        <v>1207</v>
      </c>
      <c r="B1686" s="13">
        <v>614993</v>
      </c>
      <c r="C1686" s="14">
        <v>44774</v>
      </c>
      <c r="D1686" s="15">
        <v>187</v>
      </c>
      <c r="E1686" t="str">
        <f t="shared" si="26"/>
        <v>1207-614993-44774</v>
      </c>
    </row>
    <row r="1687" spans="1:5" ht="14.25" customHeight="1">
      <c r="A1687" s="13">
        <v>1207</v>
      </c>
      <c r="B1687" s="13">
        <v>614993</v>
      </c>
      <c r="C1687" s="14">
        <v>44781</v>
      </c>
      <c r="D1687" s="15">
        <v>150</v>
      </c>
      <c r="E1687" t="str">
        <f t="shared" si="26"/>
        <v>1207-614993-44781</v>
      </c>
    </row>
    <row r="1688" spans="1:5" ht="14.25" customHeight="1">
      <c r="A1688" s="13">
        <v>1207</v>
      </c>
      <c r="B1688" s="13">
        <v>614993</v>
      </c>
      <c r="C1688" s="14">
        <v>44788</v>
      </c>
      <c r="D1688" s="15">
        <v>222</v>
      </c>
      <c r="E1688" t="str">
        <f t="shared" si="26"/>
        <v>1207-614993-44788</v>
      </c>
    </row>
    <row r="1689" spans="1:5" ht="14.25" customHeight="1">
      <c r="A1689" s="13">
        <v>1208</v>
      </c>
      <c r="B1689" s="13">
        <v>23393</v>
      </c>
      <c r="C1689" s="14">
        <v>44739</v>
      </c>
      <c r="D1689" s="15">
        <v>14</v>
      </c>
      <c r="E1689" t="str">
        <f t="shared" si="26"/>
        <v>1208-23393-44739</v>
      </c>
    </row>
    <row r="1690" spans="1:5" ht="14.25" customHeight="1">
      <c r="A1690" s="16">
        <v>1208</v>
      </c>
      <c r="B1690" s="13">
        <v>23393</v>
      </c>
      <c r="C1690" s="14">
        <v>44746</v>
      </c>
      <c r="D1690" s="15">
        <v>16</v>
      </c>
      <c r="E1690" t="str">
        <f t="shared" si="26"/>
        <v>1208-23393-44746</v>
      </c>
    </row>
    <row r="1691" spans="1:5" ht="14.25" customHeight="1">
      <c r="A1691" s="13">
        <v>1208</v>
      </c>
      <c r="B1691" s="13">
        <v>23393</v>
      </c>
      <c r="C1691" s="14">
        <v>44753</v>
      </c>
      <c r="D1691" s="15">
        <v>16</v>
      </c>
      <c r="E1691" t="str">
        <f t="shared" si="26"/>
        <v>1208-23393-44753</v>
      </c>
    </row>
    <row r="1692" spans="1:5" ht="14.25" customHeight="1">
      <c r="A1692" s="13">
        <v>1208</v>
      </c>
      <c r="B1692" s="13">
        <v>23393</v>
      </c>
      <c r="C1692" s="14">
        <v>44760</v>
      </c>
      <c r="D1692" s="15">
        <v>16</v>
      </c>
      <c r="E1692" t="str">
        <f t="shared" si="26"/>
        <v>1208-23393-44760</v>
      </c>
    </row>
    <row r="1693" spans="1:5" ht="14.25" customHeight="1">
      <c r="A1693" s="13">
        <v>1208</v>
      </c>
      <c r="B1693" s="13">
        <v>23393</v>
      </c>
      <c r="C1693" s="14">
        <v>44767</v>
      </c>
      <c r="D1693" s="15">
        <v>7</v>
      </c>
      <c r="E1693" t="str">
        <f t="shared" si="26"/>
        <v>1208-23393-44767</v>
      </c>
    </row>
    <row r="1694" spans="1:5" ht="14.25" customHeight="1">
      <c r="A1694" s="13">
        <v>1208</v>
      </c>
      <c r="B1694" s="13">
        <v>23393</v>
      </c>
      <c r="C1694" s="14">
        <v>44774</v>
      </c>
      <c r="D1694" s="15">
        <v>12</v>
      </c>
      <c r="E1694" t="str">
        <f t="shared" si="26"/>
        <v>1208-23393-44774</v>
      </c>
    </row>
    <row r="1695" spans="1:5" ht="14.25" customHeight="1">
      <c r="A1695" s="13">
        <v>1208</v>
      </c>
      <c r="B1695" s="13">
        <v>23393</v>
      </c>
      <c r="C1695" s="14">
        <v>44781</v>
      </c>
      <c r="D1695" s="15">
        <v>14</v>
      </c>
      <c r="E1695" t="str">
        <f t="shared" si="26"/>
        <v>1208-23393-44781</v>
      </c>
    </row>
    <row r="1696" spans="1:5" ht="14.25" customHeight="1">
      <c r="A1696" s="13">
        <v>1208</v>
      </c>
      <c r="B1696" s="13">
        <v>23393</v>
      </c>
      <c r="C1696" s="14">
        <v>44788</v>
      </c>
      <c r="D1696" s="15">
        <v>12</v>
      </c>
      <c r="E1696" t="str">
        <f t="shared" si="26"/>
        <v>1208-23393-44788</v>
      </c>
    </row>
    <row r="1697" spans="1:5" ht="14.25" customHeight="1">
      <c r="A1697" s="13">
        <v>1208</v>
      </c>
      <c r="B1697" s="13">
        <v>26764</v>
      </c>
      <c r="C1697" s="14">
        <v>44739</v>
      </c>
      <c r="D1697" s="15">
        <v>3</v>
      </c>
      <c r="E1697" t="str">
        <f t="shared" si="26"/>
        <v>1208-26764-44739</v>
      </c>
    </row>
    <row r="1698" spans="1:5" ht="14.25" customHeight="1">
      <c r="A1698" s="13">
        <v>1208</v>
      </c>
      <c r="B1698" s="13">
        <v>26764</v>
      </c>
      <c r="C1698" s="14">
        <v>44746</v>
      </c>
      <c r="D1698" s="15">
        <v>3</v>
      </c>
      <c r="E1698" t="str">
        <f t="shared" si="26"/>
        <v>1208-26764-44746</v>
      </c>
    </row>
    <row r="1699" spans="1:5" ht="14.25" customHeight="1">
      <c r="A1699" s="13">
        <v>1208</v>
      </c>
      <c r="B1699" s="13">
        <v>26764</v>
      </c>
      <c r="C1699" s="14">
        <v>44753</v>
      </c>
      <c r="D1699" s="15">
        <v>3</v>
      </c>
      <c r="E1699" t="str">
        <f t="shared" si="26"/>
        <v>1208-26764-44753</v>
      </c>
    </row>
    <row r="1700" spans="1:5" ht="14.25" customHeight="1">
      <c r="A1700" s="13">
        <v>1208</v>
      </c>
      <c r="B1700" s="13">
        <v>26764</v>
      </c>
      <c r="C1700" s="14">
        <v>44760</v>
      </c>
      <c r="D1700" s="15">
        <v>3</v>
      </c>
      <c r="E1700" t="str">
        <f t="shared" si="26"/>
        <v>1208-26764-44760</v>
      </c>
    </row>
    <row r="1701" spans="1:5" ht="14.25" customHeight="1">
      <c r="A1701" s="13">
        <v>1208</v>
      </c>
      <c r="B1701" s="13">
        <v>26764</v>
      </c>
      <c r="C1701" s="14">
        <v>44767</v>
      </c>
      <c r="D1701" s="15">
        <v>3</v>
      </c>
      <c r="E1701" t="str">
        <f t="shared" si="26"/>
        <v>1208-26764-44767</v>
      </c>
    </row>
    <row r="1702" spans="1:5" ht="14.25" customHeight="1">
      <c r="A1702" s="13">
        <v>1208</v>
      </c>
      <c r="B1702" s="13">
        <v>26764</v>
      </c>
      <c r="C1702" s="14">
        <v>44774</v>
      </c>
      <c r="D1702" s="15">
        <v>3</v>
      </c>
      <c r="E1702" t="str">
        <f t="shared" si="26"/>
        <v>1208-26764-44774</v>
      </c>
    </row>
    <row r="1703" spans="1:5" ht="14.25" customHeight="1">
      <c r="A1703" s="13">
        <v>1208</v>
      </c>
      <c r="B1703" s="13">
        <v>26764</v>
      </c>
      <c r="C1703" s="14">
        <v>44781</v>
      </c>
      <c r="D1703" s="15">
        <v>3</v>
      </c>
      <c r="E1703" t="str">
        <f t="shared" si="26"/>
        <v>1208-26764-44781</v>
      </c>
    </row>
    <row r="1704" spans="1:5" ht="14.25" customHeight="1">
      <c r="A1704" s="13">
        <v>1208</v>
      </c>
      <c r="B1704" s="13">
        <v>26764</v>
      </c>
      <c r="C1704" s="14">
        <v>44788</v>
      </c>
      <c r="D1704" s="15">
        <v>3</v>
      </c>
      <c r="E1704" t="str">
        <f t="shared" si="26"/>
        <v>1208-26764-44788</v>
      </c>
    </row>
    <row r="1705" spans="1:5" ht="14.25" customHeight="1">
      <c r="A1705" s="13">
        <v>1208</v>
      </c>
      <c r="B1705" s="13">
        <v>78869</v>
      </c>
      <c r="C1705" s="14">
        <v>44739</v>
      </c>
      <c r="D1705" s="15">
        <v>6</v>
      </c>
      <c r="E1705" t="str">
        <f t="shared" si="26"/>
        <v>1208-78869-44739</v>
      </c>
    </row>
    <row r="1706" spans="1:5" ht="14.25" customHeight="1">
      <c r="A1706" s="13">
        <v>1208</v>
      </c>
      <c r="B1706" s="13">
        <v>78869</v>
      </c>
      <c r="C1706" s="14">
        <v>44746</v>
      </c>
      <c r="D1706" s="15">
        <v>6</v>
      </c>
      <c r="E1706" t="str">
        <f t="shared" si="26"/>
        <v>1208-78869-44746</v>
      </c>
    </row>
    <row r="1707" spans="1:5" ht="14.25" customHeight="1">
      <c r="A1707" s="13">
        <v>1208</v>
      </c>
      <c r="B1707" s="13">
        <v>78869</v>
      </c>
      <c r="C1707" s="14">
        <v>44753</v>
      </c>
      <c r="D1707" s="15">
        <v>6</v>
      </c>
      <c r="E1707" t="str">
        <f t="shared" si="26"/>
        <v>1208-78869-44753</v>
      </c>
    </row>
    <row r="1708" spans="1:5" ht="14.25" customHeight="1">
      <c r="A1708" s="13">
        <v>1208</v>
      </c>
      <c r="B1708" s="13">
        <v>78869</v>
      </c>
      <c r="C1708" s="14">
        <v>44760</v>
      </c>
      <c r="D1708" s="15">
        <v>6</v>
      </c>
      <c r="E1708" t="str">
        <f t="shared" si="26"/>
        <v>1208-78869-44760</v>
      </c>
    </row>
    <row r="1709" spans="1:5" ht="14.25" customHeight="1">
      <c r="A1709" s="13">
        <v>1208</v>
      </c>
      <c r="B1709" s="13">
        <v>78869</v>
      </c>
      <c r="C1709" s="14">
        <v>44767</v>
      </c>
      <c r="D1709" s="15">
        <v>6</v>
      </c>
      <c r="E1709" t="str">
        <f t="shared" si="26"/>
        <v>1208-78869-44767</v>
      </c>
    </row>
    <row r="1710" spans="1:5" ht="14.25" customHeight="1">
      <c r="A1710" s="13">
        <v>1208</v>
      </c>
      <c r="B1710" s="13">
        <v>78869</v>
      </c>
      <c r="C1710" s="14">
        <v>44774</v>
      </c>
      <c r="D1710" s="15">
        <v>6</v>
      </c>
      <c r="E1710" t="str">
        <f t="shared" si="26"/>
        <v>1208-78869-44774</v>
      </c>
    </row>
    <row r="1711" spans="1:5" ht="14.25" customHeight="1">
      <c r="A1711" s="13">
        <v>1208</v>
      </c>
      <c r="B1711" s="13">
        <v>78869</v>
      </c>
      <c r="C1711" s="14">
        <v>44781</v>
      </c>
      <c r="D1711" s="15">
        <v>6</v>
      </c>
      <c r="E1711" t="str">
        <f t="shared" si="26"/>
        <v>1208-78869-44781</v>
      </c>
    </row>
    <row r="1712" spans="1:5" ht="14.25" customHeight="1">
      <c r="A1712" s="13">
        <v>1208</v>
      </c>
      <c r="B1712" s="13">
        <v>78869</v>
      </c>
      <c r="C1712" s="14">
        <v>44788</v>
      </c>
      <c r="D1712" s="15">
        <v>6</v>
      </c>
      <c r="E1712" t="str">
        <f t="shared" si="26"/>
        <v>1208-78869-44788</v>
      </c>
    </row>
    <row r="1713" spans="1:5" ht="14.25" customHeight="1">
      <c r="A1713" s="13">
        <v>1208</v>
      </c>
      <c r="B1713" s="13">
        <v>141622</v>
      </c>
      <c r="C1713" s="14">
        <v>44739</v>
      </c>
      <c r="D1713" s="15">
        <v>6</v>
      </c>
      <c r="E1713" t="str">
        <f t="shared" si="26"/>
        <v>1208-141622-44739</v>
      </c>
    </row>
    <row r="1714" spans="1:5" ht="14.25" customHeight="1">
      <c r="A1714" s="13">
        <v>1208</v>
      </c>
      <c r="B1714" s="13">
        <v>141622</v>
      </c>
      <c r="C1714" s="14">
        <v>44746</v>
      </c>
      <c r="D1714" s="15">
        <v>11</v>
      </c>
      <c r="E1714" t="str">
        <f t="shared" si="26"/>
        <v>1208-141622-44746</v>
      </c>
    </row>
    <row r="1715" spans="1:5" ht="14.25" customHeight="1">
      <c r="A1715" s="13">
        <v>1208</v>
      </c>
      <c r="B1715" s="13">
        <v>141622</v>
      </c>
      <c r="C1715" s="14">
        <v>44753</v>
      </c>
      <c r="D1715" s="15">
        <v>12</v>
      </c>
      <c r="E1715" t="str">
        <f t="shared" si="26"/>
        <v>1208-141622-44753</v>
      </c>
    </row>
    <row r="1716" spans="1:5" ht="14.25" customHeight="1">
      <c r="A1716" s="13">
        <v>1208</v>
      </c>
      <c r="B1716" s="13">
        <v>141622</v>
      </c>
      <c r="C1716" s="14">
        <v>44760</v>
      </c>
      <c r="D1716" s="15">
        <v>3</v>
      </c>
      <c r="E1716" t="str">
        <f t="shared" si="26"/>
        <v>1208-141622-44760</v>
      </c>
    </row>
    <row r="1717" spans="1:5" ht="14.25" customHeight="1">
      <c r="A1717" s="13">
        <v>1208</v>
      </c>
      <c r="B1717" s="13">
        <v>141622</v>
      </c>
      <c r="C1717" s="14">
        <v>44767</v>
      </c>
      <c r="D1717" s="15">
        <v>11</v>
      </c>
      <c r="E1717" t="str">
        <f t="shared" si="26"/>
        <v>1208-141622-44767</v>
      </c>
    </row>
    <row r="1718" spans="1:5" ht="14.25" customHeight="1">
      <c r="A1718" s="13">
        <v>1208</v>
      </c>
      <c r="B1718" s="13">
        <v>141622</v>
      </c>
      <c r="C1718" s="14">
        <v>44774</v>
      </c>
      <c r="D1718" s="15">
        <v>9</v>
      </c>
      <c r="E1718" t="str">
        <f t="shared" si="26"/>
        <v>1208-141622-44774</v>
      </c>
    </row>
    <row r="1719" spans="1:5" ht="14.25" customHeight="1">
      <c r="A1719" s="13">
        <v>1208</v>
      </c>
      <c r="B1719" s="13">
        <v>141622</v>
      </c>
      <c r="C1719" s="14">
        <v>44781</v>
      </c>
      <c r="D1719" s="15">
        <v>12</v>
      </c>
      <c r="E1719" t="str">
        <f t="shared" si="26"/>
        <v>1208-141622-44781</v>
      </c>
    </row>
    <row r="1720" spans="1:5" ht="14.25" customHeight="1">
      <c r="A1720" s="13">
        <v>1208</v>
      </c>
      <c r="B1720" s="13">
        <v>141622</v>
      </c>
      <c r="C1720" s="14">
        <v>44788</v>
      </c>
      <c r="D1720" s="15">
        <v>13</v>
      </c>
      <c r="E1720" t="str">
        <f t="shared" si="26"/>
        <v>1208-141622-44788</v>
      </c>
    </row>
    <row r="1721" spans="1:5" ht="14.25" customHeight="1">
      <c r="A1721" s="13">
        <v>1208</v>
      </c>
      <c r="B1721" s="13">
        <v>141626</v>
      </c>
      <c r="C1721" s="14">
        <v>44739</v>
      </c>
      <c r="D1721" s="15">
        <v>24</v>
      </c>
      <c r="E1721" t="str">
        <f t="shared" si="26"/>
        <v>1208-141626-44739</v>
      </c>
    </row>
    <row r="1722" spans="1:5" ht="14.25" customHeight="1">
      <c r="A1722" s="13">
        <v>1208</v>
      </c>
      <c r="B1722" s="13">
        <v>141626</v>
      </c>
      <c r="C1722" s="14">
        <v>44746</v>
      </c>
      <c r="D1722" s="15">
        <v>8</v>
      </c>
      <c r="E1722" t="str">
        <f t="shared" si="26"/>
        <v>1208-141626-44746</v>
      </c>
    </row>
    <row r="1723" spans="1:5" ht="14.25" customHeight="1">
      <c r="A1723" s="13">
        <v>1208</v>
      </c>
      <c r="B1723" s="13">
        <v>141626</v>
      </c>
      <c r="C1723" s="14">
        <v>44753</v>
      </c>
      <c r="D1723" s="15">
        <v>32</v>
      </c>
      <c r="E1723" t="str">
        <f t="shared" si="26"/>
        <v>1208-141626-44753</v>
      </c>
    </row>
    <row r="1724" spans="1:5" ht="14.25" customHeight="1">
      <c r="A1724" s="13">
        <v>1208</v>
      </c>
      <c r="B1724" s="13">
        <v>141626</v>
      </c>
      <c r="C1724" s="14">
        <v>44760</v>
      </c>
      <c r="D1724" s="15">
        <v>26</v>
      </c>
      <c r="E1724" t="str">
        <f t="shared" si="26"/>
        <v>1208-141626-44760</v>
      </c>
    </row>
    <row r="1725" spans="1:5" ht="14.25" customHeight="1">
      <c r="A1725" s="13">
        <v>1208</v>
      </c>
      <c r="B1725" s="13">
        <v>141626</v>
      </c>
      <c r="C1725" s="14">
        <v>44767</v>
      </c>
      <c r="D1725" s="15">
        <v>28</v>
      </c>
      <c r="E1725" t="str">
        <f t="shared" si="26"/>
        <v>1208-141626-44767</v>
      </c>
    </row>
    <row r="1726" spans="1:5" ht="14.25" customHeight="1">
      <c r="A1726" s="13">
        <v>1208</v>
      </c>
      <c r="B1726" s="13">
        <v>141626</v>
      </c>
      <c r="C1726" s="14">
        <v>44774</v>
      </c>
      <c r="D1726" s="15">
        <v>33</v>
      </c>
      <c r="E1726" t="str">
        <f t="shared" si="26"/>
        <v>1208-141626-44774</v>
      </c>
    </row>
    <row r="1727" spans="1:5" ht="14.25" customHeight="1">
      <c r="A1727" s="13">
        <v>1208</v>
      </c>
      <c r="B1727" s="13">
        <v>141626</v>
      </c>
      <c r="C1727" s="14">
        <v>44781</v>
      </c>
      <c r="D1727" s="15">
        <v>18</v>
      </c>
      <c r="E1727" t="str">
        <f t="shared" si="26"/>
        <v>1208-141626-44781</v>
      </c>
    </row>
    <row r="1728" spans="1:5" ht="14.25" customHeight="1">
      <c r="A1728" s="13">
        <v>1208</v>
      </c>
      <c r="B1728" s="13">
        <v>141626</v>
      </c>
      <c r="C1728" s="14">
        <v>44788</v>
      </c>
      <c r="D1728" s="15">
        <v>25</v>
      </c>
      <c r="E1728" t="str">
        <f t="shared" si="26"/>
        <v>1208-141626-44788</v>
      </c>
    </row>
    <row r="1729" spans="1:5" ht="14.25" customHeight="1">
      <c r="A1729" s="13">
        <v>1208</v>
      </c>
      <c r="B1729" s="13">
        <v>141967</v>
      </c>
      <c r="C1729" s="14">
        <v>44739</v>
      </c>
      <c r="D1729" s="15">
        <v>6</v>
      </c>
      <c r="E1729" t="str">
        <f t="shared" si="26"/>
        <v>1208-141967-44739</v>
      </c>
    </row>
    <row r="1730" spans="1:5" ht="14.25" customHeight="1">
      <c r="A1730" s="13">
        <v>1208</v>
      </c>
      <c r="B1730" s="13">
        <v>141967</v>
      </c>
      <c r="C1730" s="14">
        <v>44746</v>
      </c>
      <c r="D1730" s="15">
        <v>6</v>
      </c>
      <c r="E1730" t="str">
        <f t="shared" si="26"/>
        <v>1208-141967-44746</v>
      </c>
    </row>
    <row r="1731" spans="1:5" ht="14.25" customHeight="1">
      <c r="A1731" s="13">
        <v>1208</v>
      </c>
      <c r="B1731" s="13">
        <v>141967</v>
      </c>
      <c r="C1731" s="14">
        <v>44753</v>
      </c>
      <c r="D1731" s="15">
        <v>6</v>
      </c>
      <c r="E1731" t="str">
        <f t="shared" ref="E1731:E1794" si="27">A1731&amp;"-"&amp;B1731&amp;"-"&amp;INT(C1731)</f>
        <v>1208-141967-44753</v>
      </c>
    </row>
    <row r="1732" spans="1:5" ht="14.25" customHeight="1">
      <c r="A1732" s="13">
        <v>1208</v>
      </c>
      <c r="B1732" s="13">
        <v>141967</v>
      </c>
      <c r="C1732" s="14">
        <v>44760</v>
      </c>
      <c r="D1732" s="15">
        <v>6</v>
      </c>
      <c r="E1732" t="str">
        <f t="shared" si="27"/>
        <v>1208-141967-44760</v>
      </c>
    </row>
    <row r="1733" spans="1:5" ht="14.25" customHeight="1">
      <c r="A1733" s="13">
        <v>1208</v>
      </c>
      <c r="B1733" s="13">
        <v>141967</v>
      </c>
      <c r="C1733" s="14">
        <v>44767</v>
      </c>
      <c r="D1733" s="15">
        <v>6</v>
      </c>
      <c r="E1733" t="str">
        <f t="shared" si="27"/>
        <v>1208-141967-44767</v>
      </c>
    </row>
    <row r="1734" spans="1:5" ht="14.25" customHeight="1">
      <c r="A1734" s="13">
        <v>1208</v>
      </c>
      <c r="B1734" s="13">
        <v>141967</v>
      </c>
      <c r="C1734" s="14">
        <v>44774</v>
      </c>
      <c r="D1734" s="15">
        <v>6</v>
      </c>
      <c r="E1734" t="str">
        <f t="shared" si="27"/>
        <v>1208-141967-44774</v>
      </c>
    </row>
    <row r="1735" spans="1:5" ht="14.25" customHeight="1">
      <c r="A1735" s="13">
        <v>1208</v>
      </c>
      <c r="B1735" s="13">
        <v>141967</v>
      </c>
      <c r="C1735" s="14">
        <v>44781</v>
      </c>
      <c r="D1735" s="15">
        <v>6</v>
      </c>
      <c r="E1735" t="str">
        <f t="shared" si="27"/>
        <v>1208-141967-44781</v>
      </c>
    </row>
    <row r="1736" spans="1:5" ht="14.25" customHeight="1">
      <c r="A1736" s="13">
        <v>1208</v>
      </c>
      <c r="B1736" s="13">
        <v>141967</v>
      </c>
      <c r="C1736" s="14">
        <v>44788</v>
      </c>
      <c r="D1736" s="15">
        <v>6</v>
      </c>
      <c r="E1736" t="str">
        <f t="shared" si="27"/>
        <v>1208-141967-44788</v>
      </c>
    </row>
    <row r="1737" spans="1:5" ht="14.25" customHeight="1">
      <c r="A1737" s="13">
        <v>1208</v>
      </c>
      <c r="B1737" s="13">
        <v>142194</v>
      </c>
      <c r="C1737" s="14">
        <v>44739</v>
      </c>
      <c r="D1737" s="15">
        <v>6</v>
      </c>
      <c r="E1737" t="str">
        <f t="shared" si="27"/>
        <v>1208-142194-44739</v>
      </c>
    </row>
    <row r="1738" spans="1:5" ht="14.25" customHeight="1">
      <c r="A1738" s="13">
        <v>1208</v>
      </c>
      <c r="B1738" s="13">
        <v>142194</v>
      </c>
      <c r="C1738" s="14">
        <v>44746</v>
      </c>
      <c r="D1738" s="15">
        <v>6</v>
      </c>
      <c r="E1738" t="str">
        <f t="shared" si="27"/>
        <v>1208-142194-44746</v>
      </c>
    </row>
    <row r="1739" spans="1:5" ht="14.25" customHeight="1">
      <c r="A1739" s="13">
        <v>1208</v>
      </c>
      <c r="B1739" s="13">
        <v>142194</v>
      </c>
      <c r="C1739" s="14">
        <v>44753</v>
      </c>
      <c r="D1739" s="15">
        <v>6</v>
      </c>
      <c r="E1739" t="str">
        <f t="shared" si="27"/>
        <v>1208-142194-44753</v>
      </c>
    </row>
    <row r="1740" spans="1:5" ht="14.25" customHeight="1">
      <c r="A1740" s="13">
        <v>1208</v>
      </c>
      <c r="B1740" s="13">
        <v>142194</v>
      </c>
      <c r="C1740" s="14">
        <v>44760</v>
      </c>
      <c r="D1740" s="15">
        <v>6</v>
      </c>
      <c r="E1740" t="str">
        <f t="shared" si="27"/>
        <v>1208-142194-44760</v>
      </c>
    </row>
    <row r="1741" spans="1:5" ht="14.25" customHeight="1">
      <c r="A1741" s="13">
        <v>1208</v>
      </c>
      <c r="B1741" s="13">
        <v>142194</v>
      </c>
      <c r="C1741" s="14">
        <v>44767</v>
      </c>
      <c r="D1741" s="15">
        <v>6</v>
      </c>
      <c r="E1741" t="str">
        <f t="shared" si="27"/>
        <v>1208-142194-44767</v>
      </c>
    </row>
    <row r="1742" spans="1:5" ht="14.25" customHeight="1">
      <c r="A1742" s="13">
        <v>1208</v>
      </c>
      <c r="B1742" s="13">
        <v>142194</v>
      </c>
      <c r="C1742" s="14">
        <v>44774</v>
      </c>
      <c r="D1742" s="15">
        <v>6</v>
      </c>
      <c r="E1742" t="str">
        <f t="shared" si="27"/>
        <v>1208-142194-44774</v>
      </c>
    </row>
    <row r="1743" spans="1:5" ht="14.25" customHeight="1">
      <c r="A1743" s="13">
        <v>1208</v>
      </c>
      <c r="B1743" s="13">
        <v>142194</v>
      </c>
      <c r="C1743" s="14">
        <v>44781</v>
      </c>
      <c r="D1743" s="15">
        <v>6</v>
      </c>
      <c r="E1743" t="str">
        <f t="shared" si="27"/>
        <v>1208-142194-44781</v>
      </c>
    </row>
    <row r="1744" spans="1:5" ht="14.25" customHeight="1">
      <c r="A1744" s="13">
        <v>1208</v>
      </c>
      <c r="B1744" s="13">
        <v>142194</v>
      </c>
      <c r="C1744" s="14">
        <v>44788</v>
      </c>
      <c r="D1744" s="15">
        <v>6</v>
      </c>
      <c r="E1744" t="str">
        <f t="shared" si="27"/>
        <v>1208-142194-44788</v>
      </c>
    </row>
    <row r="1745" spans="1:5" ht="14.25" customHeight="1">
      <c r="A1745" s="13">
        <v>1208</v>
      </c>
      <c r="B1745" s="13">
        <v>149779</v>
      </c>
      <c r="C1745" s="14">
        <v>44739</v>
      </c>
      <c r="D1745" s="15">
        <v>6</v>
      </c>
      <c r="E1745" t="str">
        <f t="shared" si="27"/>
        <v>1208-149779-44739</v>
      </c>
    </row>
    <row r="1746" spans="1:5" ht="14.25" customHeight="1">
      <c r="A1746" s="13">
        <v>1208</v>
      </c>
      <c r="B1746" s="13">
        <v>149779</v>
      </c>
      <c r="C1746" s="14">
        <v>44746</v>
      </c>
      <c r="D1746" s="15">
        <v>6</v>
      </c>
      <c r="E1746" t="str">
        <f t="shared" si="27"/>
        <v>1208-149779-44746</v>
      </c>
    </row>
    <row r="1747" spans="1:5" ht="14.25" customHeight="1">
      <c r="A1747" s="13">
        <v>1208</v>
      </c>
      <c r="B1747" s="13">
        <v>149779</v>
      </c>
      <c r="C1747" s="14">
        <v>44753</v>
      </c>
      <c r="D1747" s="15">
        <v>6</v>
      </c>
      <c r="E1747" t="str">
        <f t="shared" si="27"/>
        <v>1208-149779-44753</v>
      </c>
    </row>
    <row r="1748" spans="1:5" ht="14.25" customHeight="1">
      <c r="A1748" s="13">
        <v>1208</v>
      </c>
      <c r="B1748" s="13">
        <v>149779</v>
      </c>
      <c r="C1748" s="14">
        <v>44760</v>
      </c>
      <c r="D1748" s="15">
        <v>6</v>
      </c>
      <c r="E1748" t="str">
        <f t="shared" si="27"/>
        <v>1208-149779-44760</v>
      </c>
    </row>
    <row r="1749" spans="1:5" ht="14.25" customHeight="1">
      <c r="A1749" s="13">
        <v>1208</v>
      </c>
      <c r="B1749" s="13">
        <v>149779</v>
      </c>
      <c r="C1749" s="14">
        <v>44767</v>
      </c>
      <c r="D1749" s="15">
        <v>6</v>
      </c>
      <c r="E1749" t="str">
        <f t="shared" si="27"/>
        <v>1208-149779-44767</v>
      </c>
    </row>
    <row r="1750" spans="1:5" ht="14.25" customHeight="1">
      <c r="A1750" s="13">
        <v>1208</v>
      </c>
      <c r="B1750" s="13">
        <v>149779</v>
      </c>
      <c r="C1750" s="14">
        <v>44774</v>
      </c>
      <c r="D1750" s="15">
        <v>6</v>
      </c>
      <c r="E1750" t="str">
        <f t="shared" si="27"/>
        <v>1208-149779-44774</v>
      </c>
    </row>
    <row r="1751" spans="1:5" ht="14.25" customHeight="1">
      <c r="A1751" s="13">
        <v>1208</v>
      </c>
      <c r="B1751" s="13">
        <v>149779</v>
      </c>
      <c r="C1751" s="14">
        <v>44781</v>
      </c>
      <c r="D1751" s="15">
        <v>6</v>
      </c>
      <c r="E1751" t="str">
        <f t="shared" si="27"/>
        <v>1208-149779-44781</v>
      </c>
    </row>
    <row r="1752" spans="1:5" ht="14.25" customHeight="1">
      <c r="A1752" s="13">
        <v>1208</v>
      </c>
      <c r="B1752" s="13">
        <v>149779</v>
      </c>
      <c r="C1752" s="14">
        <v>44788</v>
      </c>
      <c r="D1752" s="15">
        <v>6</v>
      </c>
      <c r="E1752" t="str">
        <f t="shared" si="27"/>
        <v>1208-149779-44788</v>
      </c>
    </row>
    <row r="1753" spans="1:5" ht="14.25" customHeight="1">
      <c r="A1753" s="13">
        <v>1208</v>
      </c>
      <c r="B1753" s="13">
        <v>189933</v>
      </c>
      <c r="C1753" s="14">
        <v>44739</v>
      </c>
      <c r="D1753" s="15">
        <v>20</v>
      </c>
      <c r="E1753" t="str">
        <f t="shared" si="27"/>
        <v>1208-189933-44739</v>
      </c>
    </row>
    <row r="1754" spans="1:5" ht="14.25" customHeight="1">
      <c r="A1754" s="13">
        <v>1208</v>
      </c>
      <c r="B1754" s="13">
        <v>189933</v>
      </c>
      <c r="C1754" s="14">
        <v>44746</v>
      </c>
      <c r="D1754" s="15">
        <v>24</v>
      </c>
      <c r="E1754" t="str">
        <f t="shared" si="27"/>
        <v>1208-189933-44746</v>
      </c>
    </row>
    <row r="1755" spans="1:5" ht="14.25" customHeight="1">
      <c r="A1755" s="13">
        <v>1208</v>
      </c>
      <c r="B1755" s="13">
        <v>189933</v>
      </c>
      <c r="C1755" s="14">
        <v>44753</v>
      </c>
      <c r="D1755" s="15">
        <v>6</v>
      </c>
      <c r="E1755" t="str">
        <f t="shared" si="27"/>
        <v>1208-189933-44753</v>
      </c>
    </row>
    <row r="1756" spans="1:5" ht="14.25" customHeight="1">
      <c r="A1756" s="13">
        <v>1208</v>
      </c>
      <c r="B1756" s="13">
        <v>189933</v>
      </c>
      <c r="C1756" s="14">
        <v>44760</v>
      </c>
      <c r="D1756" s="15">
        <v>16</v>
      </c>
      <c r="E1756" t="str">
        <f t="shared" si="27"/>
        <v>1208-189933-44760</v>
      </c>
    </row>
    <row r="1757" spans="1:5" ht="14.25" customHeight="1">
      <c r="A1757" s="13">
        <v>1208</v>
      </c>
      <c r="B1757" s="13">
        <v>189933</v>
      </c>
      <c r="C1757" s="14">
        <v>44767</v>
      </c>
      <c r="D1757" s="15">
        <v>20</v>
      </c>
      <c r="E1757" t="str">
        <f t="shared" si="27"/>
        <v>1208-189933-44767</v>
      </c>
    </row>
    <row r="1758" spans="1:5" ht="14.25" customHeight="1">
      <c r="A1758" s="13">
        <v>1208</v>
      </c>
      <c r="B1758" s="13">
        <v>189933</v>
      </c>
      <c r="C1758" s="14">
        <v>44774</v>
      </c>
      <c r="D1758" s="15">
        <v>16</v>
      </c>
      <c r="E1758" t="str">
        <f t="shared" si="27"/>
        <v>1208-189933-44774</v>
      </c>
    </row>
    <row r="1759" spans="1:5" ht="14.25" customHeight="1">
      <c r="A1759" s="13">
        <v>1208</v>
      </c>
      <c r="B1759" s="13">
        <v>189933</v>
      </c>
      <c r="C1759" s="14">
        <v>44781</v>
      </c>
      <c r="D1759" s="15">
        <v>24</v>
      </c>
      <c r="E1759" t="str">
        <f t="shared" si="27"/>
        <v>1208-189933-44781</v>
      </c>
    </row>
    <row r="1760" spans="1:5" ht="14.25" customHeight="1">
      <c r="A1760" s="13">
        <v>1208</v>
      </c>
      <c r="B1760" s="13">
        <v>189933</v>
      </c>
      <c r="C1760" s="14">
        <v>44788</v>
      </c>
      <c r="D1760" s="15">
        <v>15</v>
      </c>
      <c r="E1760" t="str">
        <f t="shared" si="27"/>
        <v>1208-189933-44788</v>
      </c>
    </row>
    <row r="1761" spans="1:5" ht="14.25" customHeight="1">
      <c r="A1761" s="13">
        <v>1208</v>
      </c>
      <c r="B1761" s="13">
        <v>202577</v>
      </c>
      <c r="C1761" s="14">
        <v>44739</v>
      </c>
      <c r="D1761" s="15">
        <v>6</v>
      </c>
      <c r="E1761" t="str">
        <f t="shared" si="27"/>
        <v>1208-202577-44739</v>
      </c>
    </row>
    <row r="1762" spans="1:5" ht="14.25" customHeight="1">
      <c r="A1762" s="13">
        <v>1208</v>
      </c>
      <c r="B1762" s="13">
        <v>202577</v>
      </c>
      <c r="C1762" s="14">
        <v>44746</v>
      </c>
      <c r="D1762" s="15">
        <v>6</v>
      </c>
      <c r="E1762" t="str">
        <f t="shared" si="27"/>
        <v>1208-202577-44746</v>
      </c>
    </row>
    <row r="1763" spans="1:5" ht="14.25" customHeight="1">
      <c r="A1763" s="13">
        <v>1208</v>
      </c>
      <c r="B1763" s="13">
        <v>202577</v>
      </c>
      <c r="C1763" s="14">
        <v>44753</v>
      </c>
      <c r="D1763" s="15">
        <v>6</v>
      </c>
      <c r="E1763" t="str">
        <f t="shared" si="27"/>
        <v>1208-202577-44753</v>
      </c>
    </row>
    <row r="1764" spans="1:5" ht="14.25" customHeight="1">
      <c r="A1764" s="13">
        <v>1208</v>
      </c>
      <c r="B1764" s="13">
        <v>202577</v>
      </c>
      <c r="C1764" s="14">
        <v>44760</v>
      </c>
      <c r="D1764" s="15">
        <v>6</v>
      </c>
      <c r="E1764" t="str">
        <f t="shared" si="27"/>
        <v>1208-202577-44760</v>
      </c>
    </row>
    <row r="1765" spans="1:5" ht="14.25" customHeight="1">
      <c r="A1765" s="13">
        <v>1208</v>
      </c>
      <c r="B1765" s="13">
        <v>202577</v>
      </c>
      <c r="C1765" s="14">
        <v>44767</v>
      </c>
      <c r="D1765" s="15">
        <v>6</v>
      </c>
      <c r="E1765" t="str">
        <f t="shared" si="27"/>
        <v>1208-202577-44767</v>
      </c>
    </row>
    <row r="1766" spans="1:5" ht="14.25" customHeight="1">
      <c r="A1766" s="13">
        <v>1208</v>
      </c>
      <c r="B1766" s="13">
        <v>202577</v>
      </c>
      <c r="C1766" s="14">
        <v>44774</v>
      </c>
      <c r="D1766" s="15">
        <v>6</v>
      </c>
      <c r="E1766" t="str">
        <f t="shared" si="27"/>
        <v>1208-202577-44774</v>
      </c>
    </row>
    <row r="1767" spans="1:5" ht="14.25" customHeight="1">
      <c r="A1767" s="13">
        <v>1208</v>
      </c>
      <c r="B1767" s="13">
        <v>202577</v>
      </c>
      <c r="C1767" s="14">
        <v>44781</v>
      </c>
      <c r="D1767" s="15">
        <v>6</v>
      </c>
      <c r="E1767" t="str">
        <f t="shared" si="27"/>
        <v>1208-202577-44781</v>
      </c>
    </row>
    <row r="1768" spans="1:5" ht="14.25" customHeight="1">
      <c r="A1768" s="13">
        <v>1208</v>
      </c>
      <c r="B1768" s="13">
        <v>202577</v>
      </c>
      <c r="C1768" s="14">
        <v>44788</v>
      </c>
      <c r="D1768" s="15">
        <v>6</v>
      </c>
      <c r="E1768" t="str">
        <f t="shared" si="27"/>
        <v>1208-202577-44788</v>
      </c>
    </row>
    <row r="1769" spans="1:5" ht="14.25" customHeight="1">
      <c r="A1769" s="13">
        <v>1208</v>
      </c>
      <c r="B1769" s="13">
        <v>234334</v>
      </c>
      <c r="C1769" s="14">
        <v>44739</v>
      </c>
      <c r="D1769" s="15">
        <v>16</v>
      </c>
      <c r="E1769" t="str">
        <f t="shared" si="27"/>
        <v>1208-234334-44739</v>
      </c>
    </row>
    <row r="1770" spans="1:5" ht="14.25" customHeight="1">
      <c r="A1770" s="13">
        <v>1208</v>
      </c>
      <c r="B1770" s="13">
        <v>234334</v>
      </c>
      <c r="C1770" s="14">
        <v>44746</v>
      </c>
      <c r="D1770" s="15">
        <v>19</v>
      </c>
      <c r="E1770" t="str">
        <f t="shared" si="27"/>
        <v>1208-234334-44746</v>
      </c>
    </row>
    <row r="1771" spans="1:5" ht="14.25" customHeight="1">
      <c r="A1771" s="13">
        <v>1208</v>
      </c>
      <c r="B1771" s="13">
        <v>234334</v>
      </c>
      <c r="C1771" s="14">
        <v>44753</v>
      </c>
      <c r="D1771" s="15">
        <v>10</v>
      </c>
      <c r="E1771" t="str">
        <f t="shared" si="27"/>
        <v>1208-234334-44753</v>
      </c>
    </row>
    <row r="1772" spans="1:5" ht="14.25" customHeight="1">
      <c r="A1772" s="13">
        <v>1208</v>
      </c>
      <c r="B1772" s="13">
        <v>234334</v>
      </c>
      <c r="C1772" s="14">
        <v>44760</v>
      </c>
      <c r="D1772" s="15">
        <v>12</v>
      </c>
      <c r="E1772" t="str">
        <f t="shared" si="27"/>
        <v>1208-234334-44760</v>
      </c>
    </row>
    <row r="1773" spans="1:5" ht="14.25" customHeight="1">
      <c r="A1773" s="13">
        <v>1208</v>
      </c>
      <c r="B1773" s="13">
        <v>234334</v>
      </c>
      <c r="C1773" s="14">
        <v>44767</v>
      </c>
      <c r="D1773" s="15">
        <v>14</v>
      </c>
      <c r="E1773" t="str">
        <f t="shared" si="27"/>
        <v>1208-234334-44767</v>
      </c>
    </row>
    <row r="1774" spans="1:5" ht="14.25" customHeight="1">
      <c r="A1774" s="13">
        <v>1208</v>
      </c>
      <c r="B1774" s="13">
        <v>234334</v>
      </c>
      <c r="C1774" s="14">
        <v>44774</v>
      </c>
      <c r="D1774" s="15">
        <v>21</v>
      </c>
      <c r="E1774" t="str">
        <f t="shared" si="27"/>
        <v>1208-234334-44774</v>
      </c>
    </row>
    <row r="1775" spans="1:5" ht="14.25" customHeight="1">
      <c r="A1775" s="13">
        <v>1208</v>
      </c>
      <c r="B1775" s="13">
        <v>234334</v>
      </c>
      <c r="C1775" s="14">
        <v>44781</v>
      </c>
      <c r="D1775" s="15">
        <v>-1</v>
      </c>
      <c r="E1775" t="str">
        <f t="shared" si="27"/>
        <v>1208-234334-44781</v>
      </c>
    </row>
    <row r="1776" spans="1:5" ht="14.25" customHeight="1">
      <c r="A1776" s="13">
        <v>1208</v>
      </c>
      <c r="B1776" s="13">
        <v>234334</v>
      </c>
      <c r="C1776" s="14">
        <v>44788</v>
      </c>
      <c r="D1776" s="15">
        <v>0</v>
      </c>
      <c r="E1776" t="str">
        <f t="shared" si="27"/>
        <v>1208-234334-44788</v>
      </c>
    </row>
    <row r="1777" spans="1:5" ht="14.25" customHeight="1">
      <c r="A1777" s="13">
        <v>1208</v>
      </c>
      <c r="B1777" s="13">
        <v>249444</v>
      </c>
      <c r="C1777" s="14">
        <v>44739</v>
      </c>
      <c r="D1777" s="15">
        <v>25</v>
      </c>
      <c r="E1777" t="str">
        <f t="shared" si="27"/>
        <v>1208-249444-44739</v>
      </c>
    </row>
    <row r="1778" spans="1:5" ht="14.25" customHeight="1">
      <c r="A1778" s="13">
        <v>1208</v>
      </c>
      <c r="B1778" s="13">
        <v>249444</v>
      </c>
      <c r="C1778" s="14">
        <v>44746</v>
      </c>
      <c r="D1778" s="15">
        <v>6</v>
      </c>
      <c r="E1778" t="str">
        <f t="shared" si="27"/>
        <v>1208-249444-44746</v>
      </c>
    </row>
    <row r="1779" spans="1:5" ht="14.25" customHeight="1">
      <c r="A1779" s="13">
        <v>1208</v>
      </c>
      <c r="B1779" s="13">
        <v>249444</v>
      </c>
      <c r="C1779" s="14">
        <v>44753</v>
      </c>
      <c r="D1779" s="15">
        <v>24</v>
      </c>
      <c r="E1779" t="str">
        <f t="shared" si="27"/>
        <v>1208-249444-44753</v>
      </c>
    </row>
    <row r="1780" spans="1:5" ht="14.25" customHeight="1">
      <c r="A1780" s="13">
        <v>1208</v>
      </c>
      <c r="B1780" s="13">
        <v>249444</v>
      </c>
      <c r="C1780" s="14">
        <v>44760</v>
      </c>
      <c r="D1780" s="15">
        <v>21</v>
      </c>
      <c r="E1780" t="str">
        <f t="shared" si="27"/>
        <v>1208-249444-44760</v>
      </c>
    </row>
    <row r="1781" spans="1:5" ht="14.25" customHeight="1">
      <c r="A1781" s="16">
        <v>1208</v>
      </c>
      <c r="B1781" s="13">
        <v>249444</v>
      </c>
      <c r="C1781" s="14">
        <v>44767</v>
      </c>
      <c r="D1781" s="15">
        <v>30</v>
      </c>
      <c r="E1781" t="str">
        <f t="shared" si="27"/>
        <v>1208-249444-44767</v>
      </c>
    </row>
    <row r="1782" spans="1:5" ht="14.25" customHeight="1">
      <c r="A1782" s="5">
        <v>1208</v>
      </c>
      <c r="B1782" s="5">
        <v>249444</v>
      </c>
      <c r="C1782" s="14">
        <v>44774</v>
      </c>
      <c r="D1782" s="5">
        <v>27</v>
      </c>
      <c r="E1782" t="str">
        <f t="shared" si="27"/>
        <v>1208-249444-44774</v>
      </c>
    </row>
    <row r="1783" spans="1:5" ht="14.25" customHeight="1">
      <c r="A1783" s="5">
        <v>1208</v>
      </c>
      <c r="B1783" s="5">
        <v>249444</v>
      </c>
      <c r="C1783" s="14">
        <v>44781</v>
      </c>
      <c r="D1783" s="5">
        <v>15</v>
      </c>
      <c r="E1783" t="str">
        <f t="shared" si="27"/>
        <v>1208-249444-44781</v>
      </c>
    </row>
    <row r="1784" spans="1:5" ht="14.25" customHeight="1">
      <c r="A1784" s="5">
        <v>1208</v>
      </c>
      <c r="B1784" s="5">
        <v>249444</v>
      </c>
      <c r="C1784" s="14">
        <v>44788</v>
      </c>
      <c r="D1784" s="5">
        <v>24</v>
      </c>
      <c r="E1784" t="str">
        <f t="shared" si="27"/>
        <v>1208-249444-44788</v>
      </c>
    </row>
    <row r="1785" spans="1:5" ht="14.25" customHeight="1">
      <c r="A1785" s="5">
        <v>1208</v>
      </c>
      <c r="B1785" s="5">
        <v>249795</v>
      </c>
      <c r="C1785" s="14">
        <v>44739</v>
      </c>
      <c r="D1785" s="5">
        <v>9</v>
      </c>
      <c r="E1785" t="str">
        <f t="shared" si="27"/>
        <v>1208-249795-44739</v>
      </c>
    </row>
    <row r="1786" spans="1:5" ht="14.25" customHeight="1">
      <c r="A1786" s="5">
        <v>1208</v>
      </c>
      <c r="B1786" s="5">
        <v>249795</v>
      </c>
      <c r="C1786" s="14">
        <v>44746</v>
      </c>
      <c r="D1786" s="5">
        <v>9</v>
      </c>
      <c r="E1786" t="str">
        <f t="shared" si="27"/>
        <v>1208-249795-44746</v>
      </c>
    </row>
    <row r="1787" spans="1:5" ht="14.25" customHeight="1">
      <c r="A1787" s="5">
        <v>1208</v>
      </c>
      <c r="B1787" s="5">
        <v>249795</v>
      </c>
      <c r="C1787" s="14">
        <v>44753</v>
      </c>
      <c r="D1787" s="5">
        <v>9</v>
      </c>
      <c r="E1787" t="str">
        <f t="shared" si="27"/>
        <v>1208-249795-44753</v>
      </c>
    </row>
    <row r="1788" spans="1:5" ht="14.25" customHeight="1">
      <c r="A1788" s="5">
        <v>1208</v>
      </c>
      <c r="B1788" s="5">
        <v>249795</v>
      </c>
      <c r="C1788" s="14">
        <v>44760</v>
      </c>
      <c r="D1788" s="5">
        <v>9</v>
      </c>
      <c r="E1788" t="str">
        <f t="shared" si="27"/>
        <v>1208-249795-44760</v>
      </c>
    </row>
    <row r="1789" spans="1:5" ht="14.25" customHeight="1">
      <c r="A1789" s="5">
        <v>1208</v>
      </c>
      <c r="B1789" s="5">
        <v>249795</v>
      </c>
      <c r="C1789" s="14">
        <v>44767</v>
      </c>
      <c r="D1789" s="5">
        <v>9</v>
      </c>
      <c r="E1789" t="str">
        <f t="shared" si="27"/>
        <v>1208-249795-44767</v>
      </c>
    </row>
    <row r="1790" spans="1:5" ht="14.25" customHeight="1">
      <c r="A1790" s="5">
        <v>1208</v>
      </c>
      <c r="B1790" s="5">
        <v>249795</v>
      </c>
      <c r="C1790" s="14">
        <v>44774</v>
      </c>
      <c r="D1790" s="5">
        <v>9</v>
      </c>
      <c r="E1790" t="str">
        <f t="shared" si="27"/>
        <v>1208-249795-44774</v>
      </c>
    </row>
    <row r="1791" spans="1:5" ht="14.25" customHeight="1">
      <c r="A1791" s="5">
        <v>1208</v>
      </c>
      <c r="B1791" s="5">
        <v>249795</v>
      </c>
      <c r="C1791" s="14">
        <v>44781</v>
      </c>
      <c r="D1791" s="5">
        <v>9</v>
      </c>
      <c r="E1791" t="str">
        <f t="shared" si="27"/>
        <v>1208-249795-44781</v>
      </c>
    </row>
    <row r="1792" spans="1:5" ht="14.25" customHeight="1">
      <c r="A1792" s="5">
        <v>1208</v>
      </c>
      <c r="B1792" s="5">
        <v>249795</v>
      </c>
      <c r="C1792" s="14">
        <v>44788</v>
      </c>
      <c r="D1792" s="5">
        <v>9</v>
      </c>
      <c r="E1792" t="str">
        <f t="shared" si="27"/>
        <v>1208-249795-44788</v>
      </c>
    </row>
    <row r="1793" spans="1:5" ht="14.25" customHeight="1">
      <c r="A1793" s="5">
        <v>1208</v>
      </c>
      <c r="B1793" s="5">
        <v>250979</v>
      </c>
      <c r="C1793" s="14">
        <v>44739</v>
      </c>
      <c r="D1793" s="5">
        <v>3</v>
      </c>
      <c r="E1793" t="str">
        <f t="shared" si="27"/>
        <v>1208-250979-44739</v>
      </c>
    </row>
    <row r="1794" spans="1:5" ht="14.25" customHeight="1">
      <c r="A1794" s="5">
        <v>1208</v>
      </c>
      <c r="B1794" s="5">
        <v>250979</v>
      </c>
      <c r="C1794" s="14">
        <v>44746</v>
      </c>
      <c r="D1794" s="5">
        <v>3</v>
      </c>
      <c r="E1794" t="str">
        <f t="shared" si="27"/>
        <v>1208-250979-44746</v>
      </c>
    </row>
    <row r="1795" spans="1:5" ht="14.25" customHeight="1">
      <c r="A1795" s="5">
        <v>1208</v>
      </c>
      <c r="B1795" s="5">
        <v>250979</v>
      </c>
      <c r="C1795" s="14">
        <v>44753</v>
      </c>
      <c r="D1795" s="5">
        <v>3</v>
      </c>
      <c r="E1795" t="str">
        <f t="shared" ref="E1795:E1858" si="28">A1795&amp;"-"&amp;B1795&amp;"-"&amp;INT(C1795)</f>
        <v>1208-250979-44753</v>
      </c>
    </row>
    <row r="1796" spans="1:5" ht="14.25" customHeight="1">
      <c r="A1796" s="5">
        <v>1208</v>
      </c>
      <c r="B1796" s="5">
        <v>250979</v>
      </c>
      <c r="C1796" s="14">
        <v>44760</v>
      </c>
      <c r="D1796" s="5">
        <v>3</v>
      </c>
      <c r="E1796" t="str">
        <f t="shared" si="28"/>
        <v>1208-250979-44760</v>
      </c>
    </row>
    <row r="1797" spans="1:5" ht="14.25" customHeight="1">
      <c r="A1797" s="5">
        <v>1208</v>
      </c>
      <c r="B1797" s="5">
        <v>250979</v>
      </c>
      <c r="C1797" s="14">
        <v>44767</v>
      </c>
      <c r="D1797" s="5">
        <v>3</v>
      </c>
      <c r="E1797" t="str">
        <f t="shared" si="28"/>
        <v>1208-250979-44767</v>
      </c>
    </row>
    <row r="1798" spans="1:5" ht="14.25" customHeight="1">
      <c r="A1798" s="5">
        <v>1208</v>
      </c>
      <c r="B1798" s="5">
        <v>250979</v>
      </c>
      <c r="C1798" s="14">
        <v>44774</v>
      </c>
      <c r="D1798" s="5">
        <v>3</v>
      </c>
      <c r="E1798" t="str">
        <f t="shared" si="28"/>
        <v>1208-250979-44774</v>
      </c>
    </row>
    <row r="1799" spans="1:5" ht="14.25" customHeight="1">
      <c r="A1799" s="5">
        <v>1208</v>
      </c>
      <c r="B1799" s="5">
        <v>250979</v>
      </c>
      <c r="C1799" s="14">
        <v>44781</v>
      </c>
      <c r="D1799" s="5">
        <v>3</v>
      </c>
      <c r="E1799" t="str">
        <f t="shared" si="28"/>
        <v>1208-250979-44781</v>
      </c>
    </row>
    <row r="1800" spans="1:5" ht="14.25" customHeight="1">
      <c r="A1800" s="5">
        <v>1208</v>
      </c>
      <c r="B1800" s="5">
        <v>250979</v>
      </c>
      <c r="C1800" s="14">
        <v>44788</v>
      </c>
      <c r="D1800" s="5">
        <v>3</v>
      </c>
      <c r="E1800" t="str">
        <f t="shared" si="28"/>
        <v>1208-250979-44788</v>
      </c>
    </row>
    <row r="1801" spans="1:5" ht="14.25" customHeight="1">
      <c r="A1801" s="5">
        <v>1208</v>
      </c>
      <c r="B1801" s="5">
        <v>250981</v>
      </c>
      <c r="C1801" s="14">
        <v>44739</v>
      </c>
      <c r="D1801" s="5">
        <v>15</v>
      </c>
      <c r="E1801" t="str">
        <f t="shared" si="28"/>
        <v>1208-250981-44739</v>
      </c>
    </row>
    <row r="1802" spans="1:5" ht="14.25" customHeight="1">
      <c r="A1802" s="5">
        <v>1208</v>
      </c>
      <c r="B1802" s="5">
        <v>250981</v>
      </c>
      <c r="C1802" s="14">
        <v>44746</v>
      </c>
      <c r="D1802" s="5">
        <v>9</v>
      </c>
      <c r="E1802" t="str">
        <f t="shared" si="28"/>
        <v>1208-250981-44746</v>
      </c>
    </row>
    <row r="1803" spans="1:5" ht="14.25" customHeight="1">
      <c r="A1803" s="5">
        <v>1208</v>
      </c>
      <c r="B1803" s="5">
        <v>250981</v>
      </c>
      <c r="C1803" s="14">
        <v>44753</v>
      </c>
      <c r="D1803" s="5">
        <v>16</v>
      </c>
      <c r="E1803" t="str">
        <f t="shared" si="28"/>
        <v>1208-250981-44753</v>
      </c>
    </row>
    <row r="1804" spans="1:5" ht="14.25" customHeight="1">
      <c r="A1804" s="5">
        <v>1208</v>
      </c>
      <c r="B1804" s="5">
        <v>250981</v>
      </c>
      <c r="C1804" s="14">
        <v>44760</v>
      </c>
      <c r="D1804" s="5">
        <v>15</v>
      </c>
      <c r="E1804" t="str">
        <f t="shared" si="28"/>
        <v>1208-250981-44760</v>
      </c>
    </row>
    <row r="1805" spans="1:5" ht="14.25" customHeight="1">
      <c r="A1805" s="5">
        <v>1208</v>
      </c>
      <c r="B1805" s="5">
        <v>250981</v>
      </c>
      <c r="C1805" s="14">
        <v>44767</v>
      </c>
      <c r="D1805" s="5">
        <v>16</v>
      </c>
      <c r="E1805" t="str">
        <f t="shared" si="28"/>
        <v>1208-250981-44767</v>
      </c>
    </row>
    <row r="1806" spans="1:5" ht="14.25" customHeight="1">
      <c r="A1806" s="5">
        <v>1208</v>
      </c>
      <c r="B1806" s="5">
        <v>250981</v>
      </c>
      <c r="C1806" s="14">
        <v>44774</v>
      </c>
      <c r="D1806" s="5">
        <v>9</v>
      </c>
      <c r="E1806" t="str">
        <f t="shared" si="28"/>
        <v>1208-250981-44774</v>
      </c>
    </row>
    <row r="1807" spans="1:5" ht="14.25" customHeight="1">
      <c r="A1807" s="5">
        <v>1208</v>
      </c>
      <c r="B1807" s="5">
        <v>250981</v>
      </c>
      <c r="C1807" s="14">
        <v>44781</v>
      </c>
      <c r="D1807" s="5">
        <v>2</v>
      </c>
      <c r="E1807" t="str">
        <f t="shared" si="28"/>
        <v>1208-250981-44781</v>
      </c>
    </row>
    <row r="1808" spans="1:5" ht="14.25" customHeight="1">
      <c r="A1808" s="5">
        <v>1208</v>
      </c>
      <c r="B1808" s="5">
        <v>250981</v>
      </c>
      <c r="C1808" s="14">
        <v>44788</v>
      </c>
      <c r="D1808" s="5">
        <v>14</v>
      </c>
      <c r="E1808" t="str">
        <f t="shared" si="28"/>
        <v>1208-250981-44788</v>
      </c>
    </row>
    <row r="1809" spans="1:5" ht="14.25" customHeight="1">
      <c r="A1809" s="5">
        <v>1208</v>
      </c>
      <c r="B1809" s="5">
        <v>262294</v>
      </c>
      <c r="C1809" s="14">
        <v>44739</v>
      </c>
      <c r="D1809" s="5">
        <v>9</v>
      </c>
      <c r="E1809" t="str">
        <f t="shared" si="28"/>
        <v>1208-262294-44739</v>
      </c>
    </row>
    <row r="1810" spans="1:5" ht="14.25" customHeight="1">
      <c r="A1810" s="5">
        <v>1208</v>
      </c>
      <c r="B1810" s="5">
        <v>262294</v>
      </c>
      <c r="C1810" s="14">
        <v>44746</v>
      </c>
      <c r="D1810" s="5">
        <v>9</v>
      </c>
      <c r="E1810" t="str">
        <f t="shared" si="28"/>
        <v>1208-262294-44746</v>
      </c>
    </row>
    <row r="1811" spans="1:5" ht="14.25" customHeight="1">
      <c r="A1811" s="5">
        <v>1208</v>
      </c>
      <c r="B1811" s="5">
        <v>262294</v>
      </c>
      <c r="C1811" s="14">
        <v>44753</v>
      </c>
      <c r="D1811" s="5">
        <v>9</v>
      </c>
      <c r="E1811" t="str">
        <f t="shared" si="28"/>
        <v>1208-262294-44753</v>
      </c>
    </row>
    <row r="1812" spans="1:5" ht="14.25" customHeight="1">
      <c r="A1812" s="5">
        <v>1208</v>
      </c>
      <c r="B1812" s="5">
        <v>262294</v>
      </c>
      <c r="C1812" s="14">
        <v>44760</v>
      </c>
      <c r="D1812" s="5">
        <v>9</v>
      </c>
      <c r="E1812" t="str">
        <f t="shared" si="28"/>
        <v>1208-262294-44760</v>
      </c>
    </row>
    <row r="1813" spans="1:5" ht="14.25" customHeight="1">
      <c r="A1813" s="5">
        <v>1208</v>
      </c>
      <c r="B1813" s="5">
        <v>262294</v>
      </c>
      <c r="C1813" s="14">
        <v>44767</v>
      </c>
      <c r="D1813" s="5">
        <v>9</v>
      </c>
      <c r="E1813" t="str">
        <f t="shared" si="28"/>
        <v>1208-262294-44767</v>
      </c>
    </row>
    <row r="1814" spans="1:5" ht="14.25" customHeight="1">
      <c r="A1814" s="5">
        <v>1208</v>
      </c>
      <c r="B1814" s="5">
        <v>262294</v>
      </c>
      <c r="C1814" s="14">
        <v>44774</v>
      </c>
      <c r="D1814" s="5">
        <v>9</v>
      </c>
      <c r="E1814" t="str">
        <f t="shared" si="28"/>
        <v>1208-262294-44774</v>
      </c>
    </row>
    <row r="1815" spans="1:5" ht="14.25" customHeight="1">
      <c r="A1815" s="5">
        <v>1208</v>
      </c>
      <c r="B1815" s="5">
        <v>262294</v>
      </c>
      <c r="C1815" s="14">
        <v>44781</v>
      </c>
      <c r="D1815" s="5">
        <v>9</v>
      </c>
      <c r="E1815" t="str">
        <f t="shared" si="28"/>
        <v>1208-262294-44781</v>
      </c>
    </row>
    <row r="1816" spans="1:5" ht="14.25" customHeight="1">
      <c r="A1816" s="5">
        <v>1208</v>
      </c>
      <c r="B1816" s="5">
        <v>262294</v>
      </c>
      <c r="C1816" s="14">
        <v>44788</v>
      </c>
      <c r="D1816" s="5">
        <v>9</v>
      </c>
      <c r="E1816" t="str">
        <f t="shared" si="28"/>
        <v>1208-262294-44788</v>
      </c>
    </row>
    <row r="1817" spans="1:5" ht="14.25" customHeight="1">
      <c r="A1817" s="5">
        <v>1208</v>
      </c>
      <c r="B1817" s="5">
        <v>291726</v>
      </c>
      <c r="C1817" s="14">
        <v>44739</v>
      </c>
      <c r="D1817" s="5">
        <v>9</v>
      </c>
      <c r="E1817" t="str">
        <f t="shared" si="28"/>
        <v>1208-291726-44739</v>
      </c>
    </row>
    <row r="1818" spans="1:5" ht="14.25" customHeight="1">
      <c r="A1818" s="5">
        <v>1208</v>
      </c>
      <c r="B1818" s="5">
        <v>291726</v>
      </c>
      <c r="C1818" s="14">
        <v>44746</v>
      </c>
      <c r="D1818" s="5">
        <v>9</v>
      </c>
      <c r="E1818" t="str">
        <f t="shared" si="28"/>
        <v>1208-291726-44746</v>
      </c>
    </row>
    <row r="1819" spans="1:5" ht="14.25" customHeight="1">
      <c r="A1819" s="5">
        <v>1208</v>
      </c>
      <c r="B1819" s="5">
        <v>291726</v>
      </c>
      <c r="C1819" s="14">
        <v>44753</v>
      </c>
      <c r="D1819" s="5">
        <v>9</v>
      </c>
      <c r="E1819" t="str">
        <f t="shared" si="28"/>
        <v>1208-291726-44753</v>
      </c>
    </row>
    <row r="1820" spans="1:5" ht="14.25" customHeight="1">
      <c r="A1820" s="5">
        <v>1208</v>
      </c>
      <c r="B1820" s="5">
        <v>291726</v>
      </c>
      <c r="C1820" s="14">
        <v>44760</v>
      </c>
      <c r="D1820" s="5">
        <v>9</v>
      </c>
      <c r="E1820" t="str">
        <f t="shared" si="28"/>
        <v>1208-291726-44760</v>
      </c>
    </row>
    <row r="1821" spans="1:5" ht="14.25" customHeight="1">
      <c r="A1821" s="5">
        <v>1208</v>
      </c>
      <c r="B1821" s="5">
        <v>291726</v>
      </c>
      <c r="C1821" s="14">
        <v>44767</v>
      </c>
      <c r="D1821" s="5">
        <v>9</v>
      </c>
      <c r="E1821" t="str">
        <f t="shared" si="28"/>
        <v>1208-291726-44767</v>
      </c>
    </row>
    <row r="1822" spans="1:5" ht="14.25" customHeight="1">
      <c r="A1822" s="5">
        <v>1208</v>
      </c>
      <c r="B1822" s="5">
        <v>291726</v>
      </c>
      <c r="C1822" s="14">
        <v>44774</v>
      </c>
      <c r="D1822" s="5">
        <v>9</v>
      </c>
      <c r="E1822" t="str">
        <f t="shared" si="28"/>
        <v>1208-291726-44774</v>
      </c>
    </row>
    <row r="1823" spans="1:5" ht="14.25" customHeight="1">
      <c r="A1823" s="5">
        <v>1208</v>
      </c>
      <c r="B1823" s="5">
        <v>291726</v>
      </c>
      <c r="C1823" s="14">
        <v>44781</v>
      </c>
      <c r="D1823" s="5">
        <v>9</v>
      </c>
      <c r="E1823" t="str">
        <f t="shared" si="28"/>
        <v>1208-291726-44781</v>
      </c>
    </row>
    <row r="1824" spans="1:5" ht="14.25" customHeight="1">
      <c r="A1824" s="5">
        <v>1208</v>
      </c>
      <c r="B1824" s="5">
        <v>291726</v>
      </c>
      <c r="C1824" s="14">
        <v>44788</v>
      </c>
      <c r="D1824" s="5">
        <v>9</v>
      </c>
      <c r="E1824" t="str">
        <f t="shared" si="28"/>
        <v>1208-291726-44788</v>
      </c>
    </row>
    <row r="1825" spans="1:5" ht="14.25" customHeight="1">
      <c r="A1825" s="5">
        <v>1208</v>
      </c>
      <c r="B1825" s="5">
        <v>291728</v>
      </c>
      <c r="C1825" s="14">
        <v>44739</v>
      </c>
      <c r="D1825" s="5">
        <v>6</v>
      </c>
      <c r="E1825" t="str">
        <f t="shared" si="28"/>
        <v>1208-291728-44739</v>
      </c>
    </row>
    <row r="1826" spans="1:5" ht="14.25" customHeight="1">
      <c r="A1826" s="5">
        <v>1208</v>
      </c>
      <c r="B1826" s="5">
        <v>291728</v>
      </c>
      <c r="C1826" s="14">
        <v>44746</v>
      </c>
      <c r="D1826" s="5">
        <v>6</v>
      </c>
      <c r="E1826" t="str">
        <f t="shared" si="28"/>
        <v>1208-291728-44746</v>
      </c>
    </row>
    <row r="1827" spans="1:5" ht="14.25" customHeight="1">
      <c r="A1827" s="5">
        <v>1208</v>
      </c>
      <c r="B1827" s="5">
        <v>291728</v>
      </c>
      <c r="C1827" s="14">
        <v>44753</v>
      </c>
      <c r="D1827" s="5">
        <v>6</v>
      </c>
      <c r="E1827" t="str">
        <f t="shared" si="28"/>
        <v>1208-291728-44753</v>
      </c>
    </row>
    <row r="1828" spans="1:5" ht="14.25" customHeight="1">
      <c r="A1828" s="5">
        <v>1208</v>
      </c>
      <c r="B1828" s="5">
        <v>291728</v>
      </c>
      <c r="C1828" s="14">
        <v>44760</v>
      </c>
      <c r="D1828" s="5">
        <v>6</v>
      </c>
      <c r="E1828" t="str">
        <f t="shared" si="28"/>
        <v>1208-291728-44760</v>
      </c>
    </row>
    <row r="1829" spans="1:5" ht="14.25" customHeight="1">
      <c r="A1829" s="5">
        <v>1208</v>
      </c>
      <c r="B1829" s="5">
        <v>291728</v>
      </c>
      <c r="C1829" s="14">
        <v>44767</v>
      </c>
      <c r="D1829" s="5">
        <v>6</v>
      </c>
      <c r="E1829" t="str">
        <f t="shared" si="28"/>
        <v>1208-291728-44767</v>
      </c>
    </row>
    <row r="1830" spans="1:5" ht="14.25" customHeight="1">
      <c r="A1830" s="5">
        <v>1208</v>
      </c>
      <c r="B1830" s="5">
        <v>291728</v>
      </c>
      <c r="C1830" s="14">
        <v>44774</v>
      </c>
      <c r="D1830" s="5">
        <v>6</v>
      </c>
      <c r="E1830" t="str">
        <f t="shared" si="28"/>
        <v>1208-291728-44774</v>
      </c>
    </row>
    <row r="1831" spans="1:5" ht="14.25" customHeight="1">
      <c r="A1831" s="5">
        <v>1208</v>
      </c>
      <c r="B1831" s="5">
        <v>291728</v>
      </c>
      <c r="C1831" s="14">
        <v>44781</v>
      </c>
      <c r="D1831" s="5">
        <v>6</v>
      </c>
      <c r="E1831" t="str">
        <f t="shared" si="28"/>
        <v>1208-291728-44781</v>
      </c>
    </row>
    <row r="1832" spans="1:5" ht="14.25" customHeight="1">
      <c r="A1832" s="5">
        <v>1208</v>
      </c>
      <c r="B1832" s="5">
        <v>291728</v>
      </c>
      <c r="C1832" s="14">
        <v>44788</v>
      </c>
      <c r="D1832" s="5">
        <v>6</v>
      </c>
      <c r="E1832" t="str">
        <f t="shared" si="28"/>
        <v>1208-291728-44788</v>
      </c>
    </row>
    <row r="1833" spans="1:5" ht="14.25" customHeight="1">
      <c r="A1833" s="5">
        <v>1209</v>
      </c>
      <c r="B1833" s="5">
        <v>23393</v>
      </c>
      <c r="C1833" s="14">
        <v>32874</v>
      </c>
      <c r="D1833" s="5">
        <v>112</v>
      </c>
      <c r="E1833" t="str">
        <f t="shared" si="28"/>
        <v>1209-23393-32874</v>
      </c>
    </row>
    <row r="1834" spans="1:5" ht="14.25" customHeight="1">
      <c r="A1834" s="5">
        <v>1209</v>
      </c>
      <c r="B1834" s="5">
        <v>23393</v>
      </c>
      <c r="C1834" s="14">
        <v>44739</v>
      </c>
      <c r="D1834" s="5">
        <v>103</v>
      </c>
      <c r="E1834" t="str">
        <f t="shared" si="28"/>
        <v>1209-23393-44739</v>
      </c>
    </row>
    <row r="1835" spans="1:5" ht="14.25" customHeight="1">
      <c r="A1835" s="5">
        <v>1209</v>
      </c>
      <c r="B1835" s="5">
        <v>23393</v>
      </c>
      <c r="C1835" s="14">
        <v>44746</v>
      </c>
      <c r="D1835" s="5">
        <v>109</v>
      </c>
      <c r="E1835" t="str">
        <f t="shared" si="28"/>
        <v>1209-23393-44746</v>
      </c>
    </row>
    <row r="1836" spans="1:5" ht="14.25" customHeight="1">
      <c r="A1836" s="5">
        <v>1209</v>
      </c>
      <c r="B1836" s="5">
        <v>23393</v>
      </c>
      <c r="C1836" s="14">
        <v>44753</v>
      </c>
      <c r="D1836" s="5">
        <v>110</v>
      </c>
      <c r="E1836" t="str">
        <f t="shared" si="28"/>
        <v>1209-23393-44753</v>
      </c>
    </row>
    <row r="1837" spans="1:5" ht="14.25" customHeight="1">
      <c r="A1837" s="5">
        <v>1209</v>
      </c>
      <c r="B1837" s="5">
        <v>23393</v>
      </c>
      <c r="C1837" s="14">
        <v>44760</v>
      </c>
      <c r="D1837" s="5">
        <v>90</v>
      </c>
      <c r="E1837" t="str">
        <f t="shared" si="28"/>
        <v>1209-23393-44760</v>
      </c>
    </row>
    <row r="1838" spans="1:5" ht="14.25" customHeight="1">
      <c r="A1838" s="5">
        <v>1209</v>
      </c>
      <c r="B1838" s="5">
        <v>23393</v>
      </c>
      <c r="C1838" s="14">
        <v>44767</v>
      </c>
      <c r="D1838" s="5">
        <v>72</v>
      </c>
      <c r="E1838" t="str">
        <f t="shared" si="28"/>
        <v>1209-23393-44767</v>
      </c>
    </row>
    <row r="1839" spans="1:5" ht="14.25" customHeight="1">
      <c r="A1839" s="5">
        <v>1209</v>
      </c>
      <c r="B1839" s="5">
        <v>23393</v>
      </c>
      <c r="C1839" s="14">
        <v>44774</v>
      </c>
      <c r="D1839" s="5">
        <v>106</v>
      </c>
      <c r="E1839" t="str">
        <f t="shared" si="28"/>
        <v>1209-23393-44774</v>
      </c>
    </row>
    <row r="1840" spans="1:5" ht="14.25" customHeight="1">
      <c r="A1840" s="5">
        <v>1209</v>
      </c>
      <c r="B1840" s="5">
        <v>23393</v>
      </c>
      <c r="C1840" s="14">
        <v>44781</v>
      </c>
      <c r="D1840" s="5">
        <v>98</v>
      </c>
      <c r="E1840" t="str">
        <f t="shared" si="28"/>
        <v>1209-23393-44781</v>
      </c>
    </row>
    <row r="1841" spans="1:5" ht="14.25" customHeight="1">
      <c r="A1841" s="5">
        <v>1209</v>
      </c>
      <c r="B1841" s="5">
        <v>23393</v>
      </c>
      <c r="C1841" s="14">
        <v>44788</v>
      </c>
      <c r="D1841" s="5">
        <v>79</v>
      </c>
      <c r="E1841" t="str">
        <f t="shared" si="28"/>
        <v>1209-23393-44788</v>
      </c>
    </row>
    <row r="1842" spans="1:5" ht="14.25" customHeight="1">
      <c r="A1842" s="5">
        <v>1209</v>
      </c>
      <c r="B1842" s="5">
        <v>26764</v>
      </c>
      <c r="C1842" s="14">
        <v>44739</v>
      </c>
      <c r="D1842" s="5">
        <v>12</v>
      </c>
      <c r="E1842" t="str">
        <f t="shared" si="28"/>
        <v>1209-26764-44739</v>
      </c>
    </row>
    <row r="1843" spans="1:5" ht="14.25" customHeight="1">
      <c r="A1843" s="5">
        <v>1209</v>
      </c>
      <c r="B1843" s="5">
        <v>26764</v>
      </c>
      <c r="C1843" s="14">
        <v>44746</v>
      </c>
      <c r="D1843" s="5">
        <v>6</v>
      </c>
      <c r="E1843" t="str">
        <f t="shared" si="28"/>
        <v>1209-26764-44746</v>
      </c>
    </row>
    <row r="1844" spans="1:5" ht="14.25" customHeight="1">
      <c r="A1844" s="5">
        <v>1209</v>
      </c>
      <c r="B1844" s="5">
        <v>26764</v>
      </c>
      <c r="C1844" s="14">
        <v>44753</v>
      </c>
      <c r="D1844" s="5">
        <v>7</v>
      </c>
      <c r="E1844" t="str">
        <f t="shared" si="28"/>
        <v>1209-26764-44753</v>
      </c>
    </row>
    <row r="1845" spans="1:5" ht="14.25" customHeight="1">
      <c r="A1845" s="5">
        <v>1209</v>
      </c>
      <c r="B1845" s="5">
        <v>26764</v>
      </c>
      <c r="C1845" s="14">
        <v>44760</v>
      </c>
      <c r="D1845" s="5">
        <v>22</v>
      </c>
      <c r="E1845" t="str">
        <f t="shared" si="28"/>
        <v>1209-26764-44760</v>
      </c>
    </row>
    <row r="1846" spans="1:5" ht="14.25" customHeight="1">
      <c r="A1846" s="5">
        <v>1209</v>
      </c>
      <c r="B1846" s="5">
        <v>26764</v>
      </c>
      <c r="C1846" s="14">
        <v>44767</v>
      </c>
      <c r="D1846" s="5">
        <v>36</v>
      </c>
      <c r="E1846" t="str">
        <f t="shared" si="28"/>
        <v>1209-26764-44767</v>
      </c>
    </row>
    <row r="1847" spans="1:5" ht="14.25" customHeight="1">
      <c r="A1847" s="5">
        <v>1209</v>
      </c>
      <c r="B1847" s="5">
        <v>26764</v>
      </c>
      <c r="C1847" s="14">
        <v>44774</v>
      </c>
      <c r="D1847" s="5">
        <v>30</v>
      </c>
      <c r="E1847" t="str">
        <f t="shared" si="28"/>
        <v>1209-26764-44774</v>
      </c>
    </row>
    <row r="1848" spans="1:5" ht="14.25" customHeight="1">
      <c r="A1848" s="5">
        <v>1209</v>
      </c>
      <c r="B1848" s="5">
        <v>26764</v>
      </c>
      <c r="C1848" s="14">
        <v>44781</v>
      </c>
      <c r="D1848" s="5">
        <v>26</v>
      </c>
      <c r="E1848" t="str">
        <f t="shared" si="28"/>
        <v>1209-26764-44781</v>
      </c>
    </row>
    <row r="1849" spans="1:5" ht="14.25" customHeight="1">
      <c r="A1849" s="5">
        <v>1209</v>
      </c>
      <c r="B1849" s="5">
        <v>26764</v>
      </c>
      <c r="C1849" s="14">
        <v>44788</v>
      </c>
      <c r="D1849" s="5">
        <v>22</v>
      </c>
      <c r="E1849" t="str">
        <f t="shared" si="28"/>
        <v>1209-26764-44788</v>
      </c>
    </row>
    <row r="1850" spans="1:5" ht="14.25" customHeight="1">
      <c r="A1850" s="5">
        <v>1209</v>
      </c>
      <c r="B1850" s="5">
        <v>53934</v>
      </c>
      <c r="C1850" s="14">
        <v>44739</v>
      </c>
      <c r="D1850" s="5">
        <v>12</v>
      </c>
      <c r="E1850" t="str">
        <f t="shared" si="28"/>
        <v>1209-53934-44739</v>
      </c>
    </row>
    <row r="1851" spans="1:5" ht="14.25" customHeight="1">
      <c r="A1851" s="5">
        <v>1209</v>
      </c>
      <c r="B1851" s="5">
        <v>53934</v>
      </c>
      <c r="C1851" s="14">
        <v>44746</v>
      </c>
      <c r="D1851" s="5">
        <v>12</v>
      </c>
      <c r="E1851" t="str">
        <f t="shared" si="28"/>
        <v>1209-53934-44746</v>
      </c>
    </row>
    <row r="1852" spans="1:5" ht="14.25" customHeight="1">
      <c r="A1852" s="5">
        <v>1209</v>
      </c>
      <c r="B1852" s="5">
        <v>53934</v>
      </c>
      <c r="C1852" s="14">
        <v>44753</v>
      </c>
      <c r="D1852" s="5">
        <v>12</v>
      </c>
      <c r="E1852" t="str">
        <f t="shared" si="28"/>
        <v>1209-53934-44753</v>
      </c>
    </row>
    <row r="1853" spans="1:5" ht="14.25" customHeight="1">
      <c r="A1853" s="5">
        <v>1209</v>
      </c>
      <c r="B1853" s="5">
        <v>53934</v>
      </c>
      <c r="C1853" s="14">
        <v>44760</v>
      </c>
      <c r="D1853" s="5">
        <v>12</v>
      </c>
      <c r="E1853" t="str">
        <f t="shared" si="28"/>
        <v>1209-53934-44760</v>
      </c>
    </row>
    <row r="1854" spans="1:5" ht="14.25" customHeight="1">
      <c r="A1854" s="5">
        <v>1209</v>
      </c>
      <c r="B1854" s="5">
        <v>53934</v>
      </c>
      <c r="C1854" s="14">
        <v>44767</v>
      </c>
      <c r="D1854" s="5">
        <v>12</v>
      </c>
      <c r="E1854" t="str">
        <f t="shared" si="28"/>
        <v>1209-53934-44767</v>
      </c>
    </row>
    <row r="1855" spans="1:5" ht="14.25" customHeight="1">
      <c r="A1855" s="5">
        <v>1209</v>
      </c>
      <c r="B1855" s="5">
        <v>53934</v>
      </c>
      <c r="C1855" s="14">
        <v>44774</v>
      </c>
      <c r="D1855" s="5">
        <v>12</v>
      </c>
      <c r="E1855" t="str">
        <f t="shared" si="28"/>
        <v>1209-53934-44774</v>
      </c>
    </row>
    <row r="1856" spans="1:5" ht="14.25" customHeight="1">
      <c r="A1856" s="5">
        <v>1209</v>
      </c>
      <c r="B1856" s="5">
        <v>53934</v>
      </c>
      <c r="C1856" s="14">
        <v>44781</v>
      </c>
      <c r="D1856" s="5">
        <v>12</v>
      </c>
      <c r="E1856" t="str">
        <f t="shared" si="28"/>
        <v>1209-53934-44781</v>
      </c>
    </row>
    <row r="1857" spans="1:5" ht="14.25" customHeight="1">
      <c r="A1857" s="5">
        <v>1209</v>
      </c>
      <c r="B1857" s="5">
        <v>53934</v>
      </c>
      <c r="C1857" s="14">
        <v>44788</v>
      </c>
      <c r="D1857" s="5">
        <v>12</v>
      </c>
      <c r="E1857" t="str">
        <f t="shared" si="28"/>
        <v>1209-53934-44788</v>
      </c>
    </row>
    <row r="1858" spans="1:5" ht="14.25" customHeight="1">
      <c r="A1858" s="5">
        <v>1209</v>
      </c>
      <c r="B1858" s="5">
        <v>115600</v>
      </c>
      <c r="C1858" s="14">
        <v>32874</v>
      </c>
      <c r="D1858" s="5">
        <v>18</v>
      </c>
      <c r="E1858" t="str">
        <f t="shared" si="28"/>
        <v>1209-115600-32874</v>
      </c>
    </row>
    <row r="1859" spans="1:5" ht="14.25" customHeight="1">
      <c r="A1859" s="5">
        <v>1209</v>
      </c>
      <c r="B1859" s="5">
        <v>115600</v>
      </c>
      <c r="C1859" s="14">
        <v>44739</v>
      </c>
      <c r="D1859" s="5">
        <v>54</v>
      </c>
      <c r="E1859" t="str">
        <f t="shared" ref="E1859:E1922" si="29">A1859&amp;"-"&amp;B1859&amp;"-"&amp;INT(C1859)</f>
        <v>1209-115600-44739</v>
      </c>
    </row>
    <row r="1860" spans="1:5" ht="14.25" customHeight="1">
      <c r="A1860" s="5">
        <v>1209</v>
      </c>
      <c r="B1860" s="5">
        <v>115600</v>
      </c>
      <c r="C1860" s="14">
        <v>44746</v>
      </c>
      <c r="D1860" s="5">
        <v>56</v>
      </c>
      <c r="E1860" t="str">
        <f t="shared" si="29"/>
        <v>1209-115600-44746</v>
      </c>
    </row>
    <row r="1861" spans="1:5" ht="14.25" customHeight="1">
      <c r="A1861" s="5">
        <v>1209</v>
      </c>
      <c r="B1861" s="5">
        <v>115600</v>
      </c>
      <c r="C1861" s="14">
        <v>44753</v>
      </c>
      <c r="D1861" s="5">
        <v>52</v>
      </c>
      <c r="E1861" t="str">
        <f t="shared" si="29"/>
        <v>1209-115600-44753</v>
      </c>
    </row>
    <row r="1862" spans="1:5" ht="14.25" customHeight="1">
      <c r="A1862" s="5">
        <v>1209</v>
      </c>
      <c r="B1862" s="5">
        <v>115600</v>
      </c>
      <c r="C1862" s="14">
        <v>44760</v>
      </c>
      <c r="D1862" s="5">
        <v>42</v>
      </c>
      <c r="E1862" t="str">
        <f t="shared" si="29"/>
        <v>1209-115600-44760</v>
      </c>
    </row>
    <row r="1863" spans="1:5" ht="14.25" customHeight="1">
      <c r="A1863" s="5">
        <v>1209</v>
      </c>
      <c r="B1863" s="5">
        <v>115600</v>
      </c>
      <c r="C1863" s="14">
        <v>44767</v>
      </c>
      <c r="D1863" s="5">
        <v>50</v>
      </c>
      <c r="E1863" t="str">
        <f t="shared" si="29"/>
        <v>1209-115600-44767</v>
      </c>
    </row>
    <row r="1864" spans="1:5" ht="14.25" customHeight="1">
      <c r="A1864" s="5">
        <v>1209</v>
      </c>
      <c r="B1864" s="5">
        <v>115600</v>
      </c>
      <c r="C1864" s="14">
        <v>44774</v>
      </c>
      <c r="D1864" s="5">
        <v>60</v>
      </c>
      <c r="E1864" t="str">
        <f t="shared" si="29"/>
        <v>1209-115600-44774</v>
      </c>
    </row>
    <row r="1865" spans="1:5" ht="14.25" customHeight="1">
      <c r="A1865" s="5">
        <v>1209</v>
      </c>
      <c r="B1865" s="5">
        <v>115600</v>
      </c>
      <c r="C1865" s="14">
        <v>44781</v>
      </c>
      <c r="D1865" s="5">
        <v>66</v>
      </c>
      <c r="E1865" t="str">
        <f t="shared" si="29"/>
        <v>1209-115600-44781</v>
      </c>
    </row>
    <row r="1866" spans="1:5" ht="14.25" customHeight="1">
      <c r="A1866" s="5">
        <v>1209</v>
      </c>
      <c r="B1866" s="5">
        <v>115600</v>
      </c>
      <c r="C1866" s="14">
        <v>44788</v>
      </c>
      <c r="D1866" s="5">
        <v>15</v>
      </c>
      <c r="E1866" t="str">
        <f t="shared" si="29"/>
        <v>1209-115600-44788</v>
      </c>
    </row>
    <row r="1867" spans="1:5" ht="14.25" customHeight="1">
      <c r="A1867" s="5">
        <v>1209</v>
      </c>
      <c r="B1867" s="5">
        <v>129208</v>
      </c>
      <c r="C1867" s="14">
        <v>44739</v>
      </c>
      <c r="D1867" s="5">
        <v>24</v>
      </c>
      <c r="E1867" t="str">
        <f t="shared" si="29"/>
        <v>1209-129208-44739</v>
      </c>
    </row>
    <row r="1868" spans="1:5" ht="14.25" customHeight="1">
      <c r="A1868" s="5">
        <v>1209</v>
      </c>
      <c r="B1868" s="5">
        <v>129208</v>
      </c>
      <c r="C1868" s="14">
        <v>44746</v>
      </c>
      <c r="D1868" s="5">
        <v>18</v>
      </c>
      <c r="E1868" t="str">
        <f t="shared" si="29"/>
        <v>1209-129208-44746</v>
      </c>
    </row>
    <row r="1869" spans="1:5" ht="14.25" customHeight="1">
      <c r="A1869" s="5">
        <v>1209</v>
      </c>
      <c r="B1869" s="5">
        <v>129208</v>
      </c>
      <c r="C1869" s="14">
        <v>44753</v>
      </c>
      <c r="D1869" s="5">
        <v>24</v>
      </c>
      <c r="E1869" t="str">
        <f t="shared" si="29"/>
        <v>1209-129208-44753</v>
      </c>
    </row>
    <row r="1870" spans="1:5" ht="14.25" customHeight="1">
      <c r="A1870" s="5">
        <v>1209</v>
      </c>
      <c r="B1870" s="5">
        <v>129208</v>
      </c>
      <c r="C1870" s="14">
        <v>44760</v>
      </c>
      <c r="D1870" s="5">
        <v>27</v>
      </c>
      <c r="E1870" t="str">
        <f t="shared" si="29"/>
        <v>1209-129208-44760</v>
      </c>
    </row>
    <row r="1871" spans="1:5" ht="14.25" customHeight="1">
      <c r="A1871" s="5">
        <v>1209</v>
      </c>
      <c r="B1871" s="5">
        <v>129208</v>
      </c>
      <c r="C1871" s="14">
        <v>44767</v>
      </c>
      <c r="D1871" s="5">
        <v>3</v>
      </c>
      <c r="E1871" t="str">
        <f t="shared" si="29"/>
        <v>1209-129208-44767</v>
      </c>
    </row>
    <row r="1872" spans="1:5" ht="14.25" customHeight="1">
      <c r="A1872" s="5">
        <v>1209</v>
      </c>
      <c r="B1872" s="5">
        <v>129208</v>
      </c>
      <c r="C1872" s="14">
        <v>44774</v>
      </c>
      <c r="D1872" s="5">
        <v>28</v>
      </c>
      <c r="E1872" t="str">
        <f t="shared" si="29"/>
        <v>1209-129208-44774</v>
      </c>
    </row>
    <row r="1873" spans="1:5" ht="14.25" customHeight="1">
      <c r="A1873" s="5">
        <v>1209</v>
      </c>
      <c r="B1873" s="5">
        <v>129208</v>
      </c>
      <c r="C1873" s="14">
        <v>44781</v>
      </c>
      <c r="D1873" s="5">
        <v>21</v>
      </c>
      <c r="E1873" t="str">
        <f t="shared" si="29"/>
        <v>1209-129208-44781</v>
      </c>
    </row>
    <row r="1874" spans="1:5" ht="14.25" customHeight="1">
      <c r="A1874" s="5">
        <v>1209</v>
      </c>
      <c r="B1874" s="5">
        <v>129208</v>
      </c>
      <c r="C1874" s="14">
        <v>44788</v>
      </c>
      <c r="D1874" s="5">
        <v>3</v>
      </c>
      <c r="E1874" t="str">
        <f t="shared" si="29"/>
        <v>1209-129208-44788</v>
      </c>
    </row>
    <row r="1875" spans="1:5" ht="14.25" customHeight="1">
      <c r="A1875" s="5">
        <v>1209</v>
      </c>
      <c r="B1875" s="5">
        <v>141622</v>
      </c>
      <c r="C1875" s="14">
        <v>44739</v>
      </c>
      <c r="D1875" s="5">
        <v>49</v>
      </c>
      <c r="E1875" t="str">
        <f t="shared" si="29"/>
        <v>1209-141622-44739</v>
      </c>
    </row>
    <row r="1876" spans="1:5" ht="14.25" customHeight="1">
      <c r="A1876" s="5">
        <v>1209</v>
      </c>
      <c r="B1876" s="5">
        <v>141622</v>
      </c>
      <c r="C1876" s="14">
        <v>44746</v>
      </c>
      <c r="D1876" s="5">
        <v>32</v>
      </c>
      <c r="E1876" t="str">
        <f t="shared" si="29"/>
        <v>1209-141622-44746</v>
      </c>
    </row>
    <row r="1877" spans="1:5" ht="14.25" customHeight="1">
      <c r="A1877" s="5">
        <v>1209</v>
      </c>
      <c r="B1877" s="5">
        <v>141622</v>
      </c>
      <c r="C1877" s="14">
        <v>44753</v>
      </c>
      <c r="D1877" s="5">
        <v>9</v>
      </c>
      <c r="E1877" t="str">
        <f t="shared" si="29"/>
        <v>1209-141622-44753</v>
      </c>
    </row>
    <row r="1878" spans="1:5" ht="14.25" customHeight="1">
      <c r="A1878" s="5">
        <v>1209</v>
      </c>
      <c r="B1878" s="5">
        <v>141622</v>
      </c>
      <c r="C1878" s="14">
        <v>44760</v>
      </c>
      <c r="D1878" s="5">
        <v>4</v>
      </c>
      <c r="E1878" t="str">
        <f t="shared" si="29"/>
        <v>1209-141622-44760</v>
      </c>
    </row>
    <row r="1879" spans="1:5" ht="14.25" customHeight="1">
      <c r="A1879" s="5">
        <v>1209</v>
      </c>
      <c r="B1879" s="5">
        <v>141622</v>
      </c>
      <c r="C1879" s="14">
        <v>44767</v>
      </c>
      <c r="D1879" s="5">
        <v>39</v>
      </c>
      <c r="E1879" t="str">
        <f t="shared" si="29"/>
        <v>1209-141622-44767</v>
      </c>
    </row>
    <row r="1880" spans="1:5" ht="14.25" customHeight="1">
      <c r="A1880" s="5">
        <v>1209</v>
      </c>
      <c r="B1880" s="5">
        <v>141622</v>
      </c>
      <c r="C1880" s="14">
        <v>44774</v>
      </c>
      <c r="D1880" s="5">
        <v>47</v>
      </c>
      <c r="E1880" t="str">
        <f t="shared" si="29"/>
        <v>1209-141622-44774</v>
      </c>
    </row>
    <row r="1881" spans="1:5" ht="14.25" customHeight="1">
      <c r="A1881" s="5">
        <v>1209</v>
      </c>
      <c r="B1881" s="5">
        <v>141622</v>
      </c>
      <c r="C1881" s="14">
        <v>44781</v>
      </c>
      <c r="D1881" s="5">
        <v>44</v>
      </c>
      <c r="E1881" t="str">
        <f t="shared" si="29"/>
        <v>1209-141622-44781</v>
      </c>
    </row>
    <row r="1882" spans="1:5" ht="14.25" customHeight="1">
      <c r="A1882" s="5">
        <v>1209</v>
      </c>
      <c r="B1882" s="5">
        <v>141622</v>
      </c>
      <c r="C1882" s="14">
        <v>44788</v>
      </c>
      <c r="D1882" s="5">
        <v>8</v>
      </c>
      <c r="E1882" t="str">
        <f t="shared" si="29"/>
        <v>1209-141622-44788</v>
      </c>
    </row>
    <row r="1883" spans="1:5" ht="14.25" customHeight="1">
      <c r="A1883" s="5">
        <v>1209</v>
      </c>
      <c r="B1883" s="5">
        <v>141626</v>
      </c>
      <c r="C1883" s="14">
        <v>44739</v>
      </c>
      <c r="D1883" s="5">
        <v>96</v>
      </c>
      <c r="E1883" t="str">
        <f t="shared" si="29"/>
        <v>1209-141626-44739</v>
      </c>
    </row>
    <row r="1884" spans="1:5" ht="14.25" customHeight="1">
      <c r="A1884" s="5">
        <v>1209</v>
      </c>
      <c r="B1884" s="5">
        <v>141626</v>
      </c>
      <c r="C1884" s="14">
        <v>44746</v>
      </c>
      <c r="D1884" s="5">
        <v>354</v>
      </c>
      <c r="E1884" t="str">
        <f t="shared" si="29"/>
        <v>1209-141626-44746</v>
      </c>
    </row>
    <row r="1885" spans="1:5" ht="14.25" customHeight="1">
      <c r="A1885" s="5">
        <v>1209</v>
      </c>
      <c r="B1885" s="5">
        <v>141626</v>
      </c>
      <c r="C1885" s="14">
        <v>44753</v>
      </c>
      <c r="D1885" s="5">
        <v>273</v>
      </c>
      <c r="E1885" t="str">
        <f t="shared" si="29"/>
        <v>1209-141626-44753</v>
      </c>
    </row>
    <row r="1886" spans="1:5" ht="14.25" customHeight="1">
      <c r="A1886" s="5">
        <v>1209</v>
      </c>
      <c r="B1886" s="5">
        <v>141626</v>
      </c>
      <c r="C1886" s="14">
        <v>44760</v>
      </c>
      <c r="D1886" s="5">
        <v>313</v>
      </c>
      <c r="E1886" t="str">
        <f t="shared" si="29"/>
        <v>1209-141626-44760</v>
      </c>
    </row>
    <row r="1887" spans="1:5" ht="14.25" customHeight="1">
      <c r="A1887" s="5">
        <v>1209</v>
      </c>
      <c r="B1887" s="5">
        <v>141626</v>
      </c>
      <c r="C1887" s="14">
        <v>44767</v>
      </c>
      <c r="D1887" s="5">
        <v>101</v>
      </c>
      <c r="E1887" t="str">
        <f t="shared" si="29"/>
        <v>1209-141626-44767</v>
      </c>
    </row>
    <row r="1888" spans="1:5" ht="14.25" customHeight="1">
      <c r="A1888" s="5">
        <v>1209</v>
      </c>
      <c r="B1888" s="5">
        <v>141626</v>
      </c>
      <c r="C1888" s="14">
        <v>44774</v>
      </c>
      <c r="D1888" s="5">
        <v>122</v>
      </c>
      <c r="E1888" t="str">
        <f t="shared" si="29"/>
        <v>1209-141626-44774</v>
      </c>
    </row>
    <row r="1889" spans="1:5" ht="14.25" customHeight="1">
      <c r="A1889" s="5">
        <v>1209</v>
      </c>
      <c r="B1889" s="5">
        <v>141626</v>
      </c>
      <c r="C1889" s="14">
        <v>44781</v>
      </c>
      <c r="D1889" s="5">
        <v>99</v>
      </c>
      <c r="E1889" t="str">
        <f t="shared" si="29"/>
        <v>1209-141626-44781</v>
      </c>
    </row>
    <row r="1890" spans="1:5" ht="14.25" customHeight="1">
      <c r="A1890" s="5">
        <v>1209</v>
      </c>
      <c r="B1890" s="5">
        <v>141626</v>
      </c>
      <c r="C1890" s="14">
        <v>44788</v>
      </c>
      <c r="D1890" s="5">
        <v>275</v>
      </c>
      <c r="E1890" t="str">
        <f t="shared" si="29"/>
        <v>1209-141626-44788</v>
      </c>
    </row>
    <row r="1891" spans="1:5" ht="14.25" customHeight="1">
      <c r="A1891" s="5">
        <v>1209</v>
      </c>
      <c r="B1891" s="5">
        <v>141791</v>
      </c>
      <c r="C1891" s="14">
        <v>44739</v>
      </c>
      <c r="D1891" s="5">
        <v>3</v>
      </c>
      <c r="E1891" t="str">
        <f t="shared" si="29"/>
        <v>1209-141791-44739</v>
      </c>
    </row>
    <row r="1892" spans="1:5" ht="14.25" customHeight="1">
      <c r="A1892" s="5">
        <v>1209</v>
      </c>
      <c r="B1892" s="5">
        <v>141791</v>
      </c>
      <c r="C1892" s="14">
        <v>44746</v>
      </c>
      <c r="D1892" s="5">
        <v>3</v>
      </c>
      <c r="E1892" t="str">
        <f t="shared" si="29"/>
        <v>1209-141791-44746</v>
      </c>
    </row>
    <row r="1893" spans="1:5" ht="14.25" customHeight="1">
      <c r="A1893" s="5">
        <v>1209</v>
      </c>
      <c r="B1893" s="5">
        <v>141791</v>
      </c>
      <c r="C1893" s="14">
        <v>44753</v>
      </c>
      <c r="D1893" s="5">
        <v>3</v>
      </c>
      <c r="E1893" t="str">
        <f t="shared" si="29"/>
        <v>1209-141791-44753</v>
      </c>
    </row>
    <row r="1894" spans="1:5" ht="14.25" customHeight="1">
      <c r="A1894" s="5">
        <v>1209</v>
      </c>
      <c r="B1894" s="5">
        <v>141791</v>
      </c>
      <c r="C1894" s="14">
        <v>44760</v>
      </c>
      <c r="D1894" s="5">
        <v>3</v>
      </c>
      <c r="E1894" t="str">
        <f t="shared" si="29"/>
        <v>1209-141791-44760</v>
      </c>
    </row>
    <row r="1895" spans="1:5" ht="14.25" customHeight="1">
      <c r="A1895" s="5">
        <v>1209</v>
      </c>
      <c r="B1895" s="5">
        <v>141791</v>
      </c>
      <c r="C1895" s="14">
        <v>44767</v>
      </c>
      <c r="D1895" s="5">
        <v>3</v>
      </c>
      <c r="E1895" t="str">
        <f t="shared" si="29"/>
        <v>1209-141791-44767</v>
      </c>
    </row>
    <row r="1896" spans="1:5" ht="14.25" customHeight="1">
      <c r="A1896" s="5">
        <v>1209</v>
      </c>
      <c r="B1896" s="5">
        <v>141791</v>
      </c>
      <c r="C1896" s="14">
        <v>44774</v>
      </c>
      <c r="D1896" s="5">
        <v>3</v>
      </c>
      <c r="E1896" t="str">
        <f t="shared" si="29"/>
        <v>1209-141791-44774</v>
      </c>
    </row>
    <row r="1897" spans="1:5" ht="14.25" customHeight="1">
      <c r="A1897" s="5">
        <v>1209</v>
      </c>
      <c r="B1897" s="5">
        <v>141791</v>
      </c>
      <c r="C1897" s="14">
        <v>44781</v>
      </c>
      <c r="D1897" s="5">
        <v>3</v>
      </c>
      <c r="E1897" t="str">
        <f t="shared" si="29"/>
        <v>1209-141791-44781</v>
      </c>
    </row>
    <row r="1898" spans="1:5" ht="14.25" customHeight="1">
      <c r="A1898" s="5">
        <v>1209</v>
      </c>
      <c r="B1898" s="5">
        <v>141791</v>
      </c>
      <c r="C1898" s="14">
        <v>44788</v>
      </c>
      <c r="D1898" s="5">
        <v>3</v>
      </c>
      <c r="E1898" t="str">
        <f t="shared" si="29"/>
        <v>1209-141791-44788</v>
      </c>
    </row>
    <row r="1899" spans="1:5" ht="14.25" customHeight="1">
      <c r="A1899" s="5">
        <v>1209</v>
      </c>
      <c r="B1899" s="5">
        <v>141967</v>
      </c>
      <c r="C1899" s="14">
        <v>44739</v>
      </c>
      <c r="D1899" s="5">
        <v>3</v>
      </c>
      <c r="E1899" t="str">
        <f t="shared" si="29"/>
        <v>1209-141967-44739</v>
      </c>
    </row>
    <row r="1900" spans="1:5" ht="14.25" customHeight="1">
      <c r="A1900" s="5">
        <v>1209</v>
      </c>
      <c r="B1900" s="5">
        <v>141967</v>
      </c>
      <c r="C1900" s="14">
        <v>44746</v>
      </c>
      <c r="D1900" s="5">
        <v>3</v>
      </c>
      <c r="E1900" t="str">
        <f t="shared" si="29"/>
        <v>1209-141967-44746</v>
      </c>
    </row>
    <row r="1901" spans="1:5" ht="14.25" customHeight="1">
      <c r="A1901" s="5">
        <v>1209</v>
      </c>
      <c r="B1901" s="5">
        <v>141967</v>
      </c>
      <c r="C1901" s="14">
        <v>44753</v>
      </c>
      <c r="D1901" s="5">
        <v>3</v>
      </c>
      <c r="E1901" t="str">
        <f t="shared" si="29"/>
        <v>1209-141967-44753</v>
      </c>
    </row>
    <row r="1902" spans="1:5" ht="14.25" customHeight="1">
      <c r="A1902" s="5">
        <v>1209</v>
      </c>
      <c r="B1902" s="5">
        <v>141967</v>
      </c>
      <c r="C1902" s="14">
        <v>44760</v>
      </c>
      <c r="D1902" s="5">
        <v>3</v>
      </c>
      <c r="E1902" t="str">
        <f t="shared" si="29"/>
        <v>1209-141967-44760</v>
      </c>
    </row>
    <row r="1903" spans="1:5" ht="14.25" customHeight="1">
      <c r="A1903" s="5">
        <v>1209</v>
      </c>
      <c r="B1903" s="5">
        <v>141967</v>
      </c>
      <c r="C1903" s="14">
        <v>44767</v>
      </c>
      <c r="D1903" s="5">
        <v>3</v>
      </c>
      <c r="E1903" t="str">
        <f t="shared" si="29"/>
        <v>1209-141967-44767</v>
      </c>
    </row>
    <row r="1904" spans="1:5" ht="14.25" customHeight="1">
      <c r="A1904" s="5">
        <v>1209</v>
      </c>
      <c r="B1904" s="5">
        <v>141967</v>
      </c>
      <c r="C1904" s="14">
        <v>44774</v>
      </c>
      <c r="D1904" s="5">
        <v>3</v>
      </c>
      <c r="E1904" t="str">
        <f t="shared" si="29"/>
        <v>1209-141967-44774</v>
      </c>
    </row>
    <row r="1905" spans="1:5" ht="14.25" customHeight="1">
      <c r="A1905" s="5">
        <v>1209</v>
      </c>
      <c r="B1905" s="5">
        <v>141967</v>
      </c>
      <c r="C1905" s="14">
        <v>44781</v>
      </c>
      <c r="D1905" s="5">
        <v>3</v>
      </c>
      <c r="E1905" t="str">
        <f t="shared" si="29"/>
        <v>1209-141967-44781</v>
      </c>
    </row>
    <row r="1906" spans="1:5" ht="14.25" customHeight="1">
      <c r="A1906" s="5">
        <v>1209</v>
      </c>
      <c r="B1906" s="5">
        <v>141967</v>
      </c>
      <c r="C1906" s="14">
        <v>44788</v>
      </c>
      <c r="D1906" s="5">
        <v>3</v>
      </c>
      <c r="E1906" t="str">
        <f t="shared" si="29"/>
        <v>1209-141967-44788</v>
      </c>
    </row>
    <row r="1907" spans="1:5" ht="14.25" customHeight="1">
      <c r="A1907" s="5">
        <v>1209</v>
      </c>
      <c r="B1907" s="5">
        <v>142194</v>
      </c>
      <c r="C1907" s="14">
        <v>44739</v>
      </c>
      <c r="D1907" s="5">
        <v>14</v>
      </c>
      <c r="E1907" t="str">
        <f t="shared" si="29"/>
        <v>1209-142194-44739</v>
      </c>
    </row>
    <row r="1908" spans="1:5" ht="14.25" customHeight="1">
      <c r="A1908" s="5">
        <v>1209</v>
      </c>
      <c r="B1908" s="5">
        <v>142194</v>
      </c>
      <c r="C1908" s="14">
        <v>44746</v>
      </c>
      <c r="D1908" s="5">
        <v>5</v>
      </c>
      <c r="E1908" t="str">
        <f t="shared" si="29"/>
        <v>1209-142194-44746</v>
      </c>
    </row>
    <row r="1909" spans="1:5" ht="14.25" customHeight="1">
      <c r="A1909" s="5">
        <v>1209</v>
      </c>
      <c r="B1909" s="5">
        <v>142194</v>
      </c>
      <c r="C1909" s="14">
        <v>44753</v>
      </c>
      <c r="D1909" s="5">
        <v>12</v>
      </c>
      <c r="E1909" t="str">
        <f t="shared" si="29"/>
        <v>1209-142194-44753</v>
      </c>
    </row>
    <row r="1910" spans="1:5" ht="14.25" customHeight="1">
      <c r="A1910" s="5">
        <v>1209</v>
      </c>
      <c r="B1910" s="5">
        <v>142194</v>
      </c>
      <c r="C1910" s="14">
        <v>44760</v>
      </c>
      <c r="D1910" s="5">
        <v>1</v>
      </c>
      <c r="E1910" t="str">
        <f t="shared" si="29"/>
        <v>1209-142194-44760</v>
      </c>
    </row>
    <row r="1911" spans="1:5" ht="14.25" customHeight="1">
      <c r="A1911" s="5">
        <v>1209</v>
      </c>
      <c r="B1911" s="5">
        <v>142194</v>
      </c>
      <c r="C1911" s="14">
        <v>44767</v>
      </c>
      <c r="D1911" s="5">
        <v>4</v>
      </c>
      <c r="E1911" t="str">
        <f t="shared" si="29"/>
        <v>1209-142194-44767</v>
      </c>
    </row>
    <row r="1912" spans="1:5" ht="14.25" customHeight="1">
      <c r="A1912" s="5">
        <v>1209</v>
      </c>
      <c r="B1912" s="5">
        <v>142194</v>
      </c>
      <c r="C1912" s="14">
        <v>44774</v>
      </c>
      <c r="D1912" s="5">
        <v>14</v>
      </c>
      <c r="E1912" t="str">
        <f t="shared" si="29"/>
        <v>1209-142194-44774</v>
      </c>
    </row>
    <row r="1913" spans="1:5" ht="14.25" customHeight="1">
      <c r="A1913" s="5">
        <v>1209</v>
      </c>
      <c r="B1913" s="5">
        <v>142194</v>
      </c>
      <c r="C1913" s="14">
        <v>44781</v>
      </c>
      <c r="D1913" s="5">
        <v>12</v>
      </c>
      <c r="E1913" t="str">
        <f t="shared" si="29"/>
        <v>1209-142194-44781</v>
      </c>
    </row>
    <row r="1914" spans="1:5" ht="14.25" customHeight="1">
      <c r="A1914" s="5">
        <v>1209</v>
      </c>
      <c r="B1914" s="5">
        <v>142194</v>
      </c>
      <c r="C1914" s="14">
        <v>44788</v>
      </c>
      <c r="D1914" s="5">
        <v>18</v>
      </c>
      <c r="E1914" t="str">
        <f t="shared" si="29"/>
        <v>1209-142194-44788</v>
      </c>
    </row>
    <row r="1915" spans="1:5" ht="14.25" customHeight="1">
      <c r="A1915" s="5">
        <v>1209</v>
      </c>
      <c r="B1915" s="5">
        <v>189933</v>
      </c>
      <c r="C1915" s="14">
        <v>44739</v>
      </c>
      <c r="D1915" s="5">
        <v>24</v>
      </c>
      <c r="E1915" t="str">
        <f t="shared" si="29"/>
        <v>1209-189933-44739</v>
      </c>
    </row>
    <row r="1916" spans="1:5" ht="14.25" customHeight="1">
      <c r="A1916" s="5">
        <v>1209</v>
      </c>
      <c r="B1916" s="5">
        <v>189933</v>
      </c>
      <c r="C1916" s="14">
        <v>44746</v>
      </c>
      <c r="D1916" s="5">
        <v>24</v>
      </c>
      <c r="E1916" t="str">
        <f t="shared" si="29"/>
        <v>1209-189933-44746</v>
      </c>
    </row>
    <row r="1917" spans="1:5" ht="14.25" customHeight="1">
      <c r="A1917" s="5">
        <v>1209</v>
      </c>
      <c r="B1917" s="5">
        <v>189933</v>
      </c>
      <c r="C1917" s="14">
        <v>44753</v>
      </c>
      <c r="D1917" s="5">
        <v>24</v>
      </c>
      <c r="E1917" t="str">
        <f t="shared" si="29"/>
        <v>1209-189933-44753</v>
      </c>
    </row>
    <row r="1918" spans="1:5" ht="14.25" customHeight="1">
      <c r="A1918" s="5">
        <v>1209</v>
      </c>
      <c r="B1918" s="5">
        <v>189933</v>
      </c>
      <c r="C1918" s="14">
        <v>44760</v>
      </c>
      <c r="D1918" s="5">
        <v>24</v>
      </c>
      <c r="E1918" t="str">
        <f t="shared" si="29"/>
        <v>1209-189933-44760</v>
      </c>
    </row>
    <row r="1919" spans="1:5" ht="14.25" customHeight="1">
      <c r="A1919" s="5">
        <v>1209</v>
      </c>
      <c r="B1919" s="5">
        <v>189933</v>
      </c>
      <c r="C1919" s="14">
        <v>44767</v>
      </c>
      <c r="D1919" s="5">
        <v>24</v>
      </c>
      <c r="E1919" t="str">
        <f t="shared" si="29"/>
        <v>1209-189933-44767</v>
      </c>
    </row>
    <row r="1920" spans="1:5" ht="14.25" customHeight="1">
      <c r="A1920" s="5">
        <v>1209</v>
      </c>
      <c r="B1920" s="5">
        <v>189933</v>
      </c>
      <c r="C1920" s="14">
        <v>44774</v>
      </c>
      <c r="D1920" s="5">
        <v>24</v>
      </c>
      <c r="E1920" t="str">
        <f t="shared" si="29"/>
        <v>1209-189933-44774</v>
      </c>
    </row>
    <row r="1921" spans="1:5" ht="14.25" customHeight="1">
      <c r="A1921" s="5">
        <v>1209</v>
      </c>
      <c r="B1921" s="5">
        <v>189933</v>
      </c>
      <c r="C1921" s="14">
        <v>44781</v>
      </c>
      <c r="D1921" s="5">
        <v>24</v>
      </c>
      <c r="E1921" t="str">
        <f t="shared" si="29"/>
        <v>1209-189933-44781</v>
      </c>
    </row>
    <row r="1922" spans="1:5" ht="14.25" customHeight="1">
      <c r="A1922" s="5">
        <v>1209</v>
      </c>
      <c r="B1922" s="5">
        <v>189933</v>
      </c>
      <c r="C1922" s="14">
        <v>44788</v>
      </c>
      <c r="D1922" s="5">
        <v>24</v>
      </c>
      <c r="E1922" t="str">
        <f t="shared" si="29"/>
        <v>1209-189933-44788</v>
      </c>
    </row>
    <row r="1923" spans="1:5" ht="14.25" customHeight="1">
      <c r="A1923" s="5">
        <v>1209</v>
      </c>
      <c r="B1923" s="5">
        <v>202577</v>
      </c>
      <c r="C1923" s="14">
        <v>44739</v>
      </c>
      <c r="D1923" s="5">
        <v>43</v>
      </c>
      <c r="E1923" t="str">
        <f t="shared" ref="E1923:E1986" si="30">A1923&amp;"-"&amp;B1923&amp;"-"&amp;INT(C1923)</f>
        <v>1209-202577-44739</v>
      </c>
    </row>
    <row r="1924" spans="1:5" ht="14.25" customHeight="1">
      <c r="A1924" s="5">
        <v>1209</v>
      </c>
      <c r="B1924" s="5">
        <v>202577</v>
      </c>
      <c r="C1924" s="14">
        <v>44746</v>
      </c>
      <c r="D1924" s="5">
        <v>42</v>
      </c>
      <c r="E1924" t="str">
        <f t="shared" si="30"/>
        <v>1209-202577-44746</v>
      </c>
    </row>
    <row r="1925" spans="1:5" ht="14.25" customHeight="1">
      <c r="A1925" s="5">
        <v>1209</v>
      </c>
      <c r="B1925" s="5">
        <v>202577</v>
      </c>
      <c r="C1925" s="14">
        <v>44753</v>
      </c>
      <c r="D1925" s="5">
        <v>39</v>
      </c>
      <c r="E1925" t="str">
        <f t="shared" si="30"/>
        <v>1209-202577-44753</v>
      </c>
    </row>
    <row r="1926" spans="1:5" ht="14.25" customHeight="1">
      <c r="A1926" s="5">
        <v>1209</v>
      </c>
      <c r="B1926" s="5">
        <v>202577</v>
      </c>
      <c r="C1926" s="14">
        <v>44760</v>
      </c>
      <c r="D1926" s="5">
        <v>20</v>
      </c>
      <c r="E1926" t="str">
        <f t="shared" si="30"/>
        <v>1209-202577-44760</v>
      </c>
    </row>
    <row r="1927" spans="1:5" ht="14.25" customHeight="1">
      <c r="A1927" s="5">
        <v>1209</v>
      </c>
      <c r="B1927" s="5">
        <v>202577</v>
      </c>
      <c r="C1927" s="14">
        <v>44767</v>
      </c>
      <c r="D1927" s="5">
        <v>56</v>
      </c>
      <c r="E1927" t="str">
        <f t="shared" si="30"/>
        <v>1209-202577-44767</v>
      </c>
    </row>
    <row r="1928" spans="1:5" ht="14.25" customHeight="1">
      <c r="A1928" s="5">
        <v>1209</v>
      </c>
      <c r="B1928" s="5">
        <v>202577</v>
      </c>
      <c r="C1928" s="14">
        <v>44774</v>
      </c>
      <c r="D1928" s="5">
        <v>52</v>
      </c>
      <c r="E1928" t="str">
        <f t="shared" si="30"/>
        <v>1209-202577-44774</v>
      </c>
    </row>
    <row r="1929" spans="1:5" ht="14.25" customHeight="1">
      <c r="A1929" s="5">
        <v>1209</v>
      </c>
      <c r="B1929" s="5">
        <v>202577</v>
      </c>
      <c r="C1929" s="14">
        <v>44781</v>
      </c>
      <c r="D1929" s="5">
        <v>18</v>
      </c>
      <c r="E1929" t="str">
        <f t="shared" si="30"/>
        <v>1209-202577-44781</v>
      </c>
    </row>
    <row r="1930" spans="1:5" ht="14.25" customHeight="1">
      <c r="A1930" s="5">
        <v>1209</v>
      </c>
      <c r="B1930" s="5">
        <v>202577</v>
      </c>
      <c r="C1930" s="14">
        <v>44788</v>
      </c>
      <c r="D1930" s="5">
        <v>45</v>
      </c>
      <c r="E1930" t="str">
        <f t="shared" si="30"/>
        <v>1209-202577-44788</v>
      </c>
    </row>
    <row r="1931" spans="1:5" ht="14.25" customHeight="1">
      <c r="A1931" s="5">
        <v>1209</v>
      </c>
      <c r="B1931" s="5">
        <v>249444</v>
      </c>
      <c r="C1931" s="14">
        <v>44739</v>
      </c>
      <c r="D1931" s="5">
        <v>60</v>
      </c>
      <c r="E1931" t="str">
        <f t="shared" si="30"/>
        <v>1209-249444-44739</v>
      </c>
    </row>
    <row r="1932" spans="1:5" ht="14.25" customHeight="1">
      <c r="A1932" s="5">
        <v>1209</v>
      </c>
      <c r="B1932" s="5">
        <v>249444</v>
      </c>
      <c r="C1932" s="14">
        <v>44746</v>
      </c>
      <c r="D1932" s="5">
        <v>67</v>
      </c>
      <c r="E1932" t="str">
        <f t="shared" si="30"/>
        <v>1209-249444-44746</v>
      </c>
    </row>
    <row r="1933" spans="1:5" ht="14.25" customHeight="1">
      <c r="A1933" s="5">
        <v>1209</v>
      </c>
      <c r="B1933" s="5">
        <v>249444</v>
      </c>
      <c r="C1933" s="14">
        <v>44753</v>
      </c>
      <c r="D1933" s="5">
        <v>93</v>
      </c>
      <c r="E1933" t="str">
        <f t="shared" si="30"/>
        <v>1209-249444-44753</v>
      </c>
    </row>
    <row r="1934" spans="1:5" ht="14.25" customHeight="1">
      <c r="A1934" s="5">
        <v>1209</v>
      </c>
      <c r="B1934" s="5">
        <v>249444</v>
      </c>
      <c r="C1934" s="14">
        <v>44760</v>
      </c>
      <c r="D1934" s="5">
        <v>86</v>
      </c>
      <c r="E1934" t="str">
        <f t="shared" si="30"/>
        <v>1209-249444-44760</v>
      </c>
    </row>
    <row r="1935" spans="1:5" ht="14.25" customHeight="1">
      <c r="A1935" s="5">
        <v>1209</v>
      </c>
      <c r="B1935" s="5">
        <v>249444</v>
      </c>
      <c r="C1935" s="14">
        <v>44767</v>
      </c>
      <c r="D1935" s="5">
        <v>20</v>
      </c>
      <c r="E1935" t="str">
        <f t="shared" si="30"/>
        <v>1209-249444-44767</v>
      </c>
    </row>
    <row r="1936" spans="1:5" ht="14.25" customHeight="1">
      <c r="A1936" s="5">
        <v>1209</v>
      </c>
      <c r="B1936" s="5">
        <v>249444</v>
      </c>
      <c r="C1936" s="14">
        <v>44774</v>
      </c>
      <c r="D1936" s="5">
        <v>67</v>
      </c>
      <c r="E1936" t="str">
        <f t="shared" si="30"/>
        <v>1209-249444-44774</v>
      </c>
    </row>
    <row r="1937" spans="1:5" ht="14.25" customHeight="1">
      <c r="A1937" s="5">
        <v>1209</v>
      </c>
      <c r="B1937" s="5">
        <v>249444</v>
      </c>
      <c r="C1937" s="14">
        <v>44781</v>
      </c>
      <c r="D1937" s="5">
        <v>19</v>
      </c>
      <c r="E1937" t="str">
        <f t="shared" si="30"/>
        <v>1209-249444-44781</v>
      </c>
    </row>
    <row r="1938" spans="1:5" ht="14.25" customHeight="1">
      <c r="A1938" s="5">
        <v>1209</v>
      </c>
      <c r="B1938" s="5">
        <v>249444</v>
      </c>
      <c r="C1938" s="14">
        <v>44788</v>
      </c>
      <c r="D1938" s="5">
        <v>69</v>
      </c>
      <c r="E1938" t="str">
        <f t="shared" si="30"/>
        <v>1209-249444-44788</v>
      </c>
    </row>
    <row r="1939" spans="1:5" ht="14.25" customHeight="1">
      <c r="A1939" s="5">
        <v>1209</v>
      </c>
      <c r="B1939" s="5">
        <v>249795</v>
      </c>
      <c r="C1939" s="14">
        <v>44739</v>
      </c>
      <c r="D1939" s="5">
        <v>3</v>
      </c>
      <c r="E1939" t="str">
        <f t="shared" si="30"/>
        <v>1209-249795-44739</v>
      </c>
    </row>
    <row r="1940" spans="1:5" ht="14.25" customHeight="1">
      <c r="A1940" s="5">
        <v>1209</v>
      </c>
      <c r="B1940" s="5">
        <v>249795</v>
      </c>
      <c r="C1940" s="14">
        <v>44746</v>
      </c>
      <c r="D1940" s="5">
        <v>3</v>
      </c>
      <c r="E1940" t="str">
        <f t="shared" si="30"/>
        <v>1209-249795-44746</v>
      </c>
    </row>
    <row r="1941" spans="1:5" ht="14.25" customHeight="1">
      <c r="A1941" s="5">
        <v>1209</v>
      </c>
      <c r="B1941" s="5">
        <v>249795</v>
      </c>
      <c r="C1941" s="14">
        <v>44753</v>
      </c>
      <c r="D1941" s="5">
        <v>3</v>
      </c>
      <c r="E1941" t="str">
        <f t="shared" si="30"/>
        <v>1209-249795-44753</v>
      </c>
    </row>
    <row r="1942" spans="1:5" ht="14.25" customHeight="1">
      <c r="A1942" s="5">
        <v>1209</v>
      </c>
      <c r="B1942" s="5">
        <v>249795</v>
      </c>
      <c r="C1942" s="14">
        <v>44760</v>
      </c>
      <c r="D1942" s="5">
        <v>3</v>
      </c>
      <c r="E1942" t="str">
        <f t="shared" si="30"/>
        <v>1209-249795-44760</v>
      </c>
    </row>
    <row r="1943" spans="1:5" ht="14.25" customHeight="1">
      <c r="A1943" s="5">
        <v>1209</v>
      </c>
      <c r="B1943" s="5">
        <v>249795</v>
      </c>
      <c r="C1943" s="14">
        <v>44767</v>
      </c>
      <c r="D1943" s="5">
        <v>3</v>
      </c>
      <c r="E1943" t="str">
        <f t="shared" si="30"/>
        <v>1209-249795-44767</v>
      </c>
    </row>
    <row r="1944" spans="1:5" ht="14.25" customHeight="1">
      <c r="A1944" s="5">
        <v>1209</v>
      </c>
      <c r="B1944" s="5">
        <v>249795</v>
      </c>
      <c r="C1944" s="14">
        <v>44774</v>
      </c>
      <c r="D1944" s="5">
        <v>3</v>
      </c>
      <c r="E1944" t="str">
        <f t="shared" si="30"/>
        <v>1209-249795-44774</v>
      </c>
    </row>
    <row r="1945" spans="1:5" ht="14.25" customHeight="1">
      <c r="A1945" s="5">
        <v>1209</v>
      </c>
      <c r="B1945" s="5">
        <v>249795</v>
      </c>
      <c r="C1945" s="14">
        <v>44781</v>
      </c>
      <c r="D1945" s="5">
        <v>3</v>
      </c>
      <c r="E1945" t="str">
        <f t="shared" si="30"/>
        <v>1209-249795-44781</v>
      </c>
    </row>
    <row r="1946" spans="1:5" ht="14.25" customHeight="1">
      <c r="A1946" s="5">
        <v>1209</v>
      </c>
      <c r="B1946" s="5">
        <v>249795</v>
      </c>
      <c r="C1946" s="14">
        <v>44788</v>
      </c>
      <c r="D1946" s="5">
        <v>3</v>
      </c>
      <c r="E1946" t="str">
        <f t="shared" si="30"/>
        <v>1209-249795-44788</v>
      </c>
    </row>
    <row r="1947" spans="1:5" ht="14.25" customHeight="1">
      <c r="A1947" s="5">
        <v>1209</v>
      </c>
      <c r="B1947" s="5">
        <v>250979</v>
      </c>
      <c r="C1947" s="14">
        <v>44739</v>
      </c>
      <c r="D1947" s="5">
        <v>3</v>
      </c>
      <c r="E1947" t="str">
        <f t="shared" si="30"/>
        <v>1209-250979-44739</v>
      </c>
    </row>
    <row r="1948" spans="1:5" ht="14.25" customHeight="1">
      <c r="A1948" s="5">
        <v>1209</v>
      </c>
      <c r="B1948" s="5">
        <v>250979</v>
      </c>
      <c r="C1948" s="14">
        <v>44746</v>
      </c>
      <c r="D1948" s="5">
        <v>3</v>
      </c>
      <c r="E1948" t="str">
        <f t="shared" si="30"/>
        <v>1209-250979-44746</v>
      </c>
    </row>
    <row r="1949" spans="1:5" ht="14.25" customHeight="1">
      <c r="A1949" s="5">
        <v>1209</v>
      </c>
      <c r="B1949" s="5">
        <v>250979</v>
      </c>
      <c r="C1949" s="14">
        <v>44753</v>
      </c>
      <c r="D1949" s="5">
        <v>3</v>
      </c>
      <c r="E1949" t="str">
        <f t="shared" si="30"/>
        <v>1209-250979-44753</v>
      </c>
    </row>
    <row r="1950" spans="1:5" ht="14.25" customHeight="1">
      <c r="A1950" s="5">
        <v>1209</v>
      </c>
      <c r="B1950" s="5">
        <v>250979</v>
      </c>
      <c r="C1950" s="14">
        <v>44760</v>
      </c>
      <c r="D1950" s="5">
        <v>3</v>
      </c>
      <c r="E1950" t="str">
        <f t="shared" si="30"/>
        <v>1209-250979-44760</v>
      </c>
    </row>
    <row r="1951" spans="1:5" ht="14.25" customHeight="1">
      <c r="A1951" s="5">
        <v>1209</v>
      </c>
      <c r="B1951" s="5">
        <v>250979</v>
      </c>
      <c r="C1951" s="14">
        <v>44767</v>
      </c>
      <c r="D1951" s="5">
        <v>3</v>
      </c>
      <c r="E1951" t="str">
        <f t="shared" si="30"/>
        <v>1209-250979-44767</v>
      </c>
    </row>
    <row r="1952" spans="1:5" ht="14.25" customHeight="1">
      <c r="A1952" s="5">
        <v>1209</v>
      </c>
      <c r="B1952" s="5">
        <v>250979</v>
      </c>
      <c r="C1952" s="14">
        <v>44774</v>
      </c>
      <c r="D1952" s="5">
        <v>3</v>
      </c>
      <c r="E1952" t="str">
        <f t="shared" si="30"/>
        <v>1209-250979-44774</v>
      </c>
    </row>
    <row r="1953" spans="1:5" ht="14.25" customHeight="1">
      <c r="A1953" s="5">
        <v>1209</v>
      </c>
      <c r="B1953" s="5">
        <v>250979</v>
      </c>
      <c r="C1953" s="14">
        <v>44781</v>
      </c>
      <c r="D1953" s="5">
        <v>3</v>
      </c>
      <c r="E1953" t="str">
        <f t="shared" si="30"/>
        <v>1209-250979-44781</v>
      </c>
    </row>
    <row r="1954" spans="1:5" ht="14.25" customHeight="1">
      <c r="A1954" s="5">
        <v>1209</v>
      </c>
      <c r="B1954" s="5">
        <v>250979</v>
      </c>
      <c r="C1954" s="14">
        <v>44788</v>
      </c>
      <c r="D1954" s="5">
        <v>3</v>
      </c>
      <c r="E1954" t="str">
        <f t="shared" si="30"/>
        <v>1209-250979-44788</v>
      </c>
    </row>
    <row r="1955" spans="1:5" ht="14.25" customHeight="1">
      <c r="A1955" s="5">
        <v>1209</v>
      </c>
      <c r="B1955" s="5">
        <v>250981</v>
      </c>
      <c r="C1955" s="14">
        <v>44739</v>
      </c>
      <c r="D1955" s="5">
        <v>-1</v>
      </c>
      <c r="E1955" t="str">
        <f t="shared" si="30"/>
        <v>1209-250981-44739</v>
      </c>
    </row>
    <row r="1956" spans="1:5" ht="14.25" customHeight="1">
      <c r="A1956" s="5">
        <v>1209</v>
      </c>
      <c r="B1956" s="5">
        <v>250981</v>
      </c>
      <c r="C1956" s="14">
        <v>44746</v>
      </c>
      <c r="D1956" s="5">
        <v>15</v>
      </c>
      <c r="E1956" t="str">
        <f t="shared" si="30"/>
        <v>1209-250981-44746</v>
      </c>
    </row>
    <row r="1957" spans="1:5" ht="14.25" customHeight="1">
      <c r="A1957" s="5">
        <v>1209</v>
      </c>
      <c r="B1957" s="5">
        <v>250981</v>
      </c>
      <c r="C1957" s="14">
        <v>44753</v>
      </c>
      <c r="D1957" s="5">
        <v>9</v>
      </c>
      <c r="E1957" t="str">
        <f t="shared" si="30"/>
        <v>1209-250981-44753</v>
      </c>
    </row>
    <row r="1958" spans="1:5" ht="14.25" customHeight="1">
      <c r="A1958" s="5">
        <v>1209</v>
      </c>
      <c r="B1958" s="5">
        <v>250981</v>
      </c>
      <c r="C1958" s="14">
        <v>44760</v>
      </c>
      <c r="D1958" s="5">
        <v>1</v>
      </c>
      <c r="E1958" t="str">
        <f t="shared" si="30"/>
        <v>1209-250981-44760</v>
      </c>
    </row>
    <row r="1959" spans="1:5" ht="14.25" customHeight="1">
      <c r="A1959" s="5">
        <v>1209</v>
      </c>
      <c r="B1959" s="5">
        <v>250981</v>
      </c>
      <c r="C1959" s="14">
        <v>44767</v>
      </c>
      <c r="D1959" s="5">
        <v>11</v>
      </c>
      <c r="E1959" t="str">
        <f t="shared" si="30"/>
        <v>1209-250981-44767</v>
      </c>
    </row>
    <row r="1960" spans="1:5" ht="14.25" customHeight="1">
      <c r="A1960" s="5">
        <v>1209</v>
      </c>
      <c r="B1960" s="5">
        <v>250981</v>
      </c>
      <c r="C1960" s="14">
        <v>44774</v>
      </c>
      <c r="D1960" s="5">
        <v>12</v>
      </c>
      <c r="E1960" t="str">
        <f t="shared" si="30"/>
        <v>1209-250981-44774</v>
      </c>
    </row>
    <row r="1961" spans="1:5" ht="14.25" customHeight="1">
      <c r="A1961" s="5">
        <v>1209</v>
      </c>
      <c r="B1961" s="5">
        <v>250981</v>
      </c>
      <c r="C1961" s="14">
        <v>44781</v>
      </c>
      <c r="D1961" s="5">
        <v>9</v>
      </c>
      <c r="E1961" t="str">
        <f t="shared" si="30"/>
        <v>1209-250981-44781</v>
      </c>
    </row>
    <row r="1962" spans="1:5" ht="14.25" customHeight="1">
      <c r="A1962" s="5">
        <v>1209</v>
      </c>
      <c r="B1962" s="5">
        <v>250981</v>
      </c>
      <c r="C1962" s="14">
        <v>44788</v>
      </c>
      <c r="D1962" s="5">
        <v>6</v>
      </c>
      <c r="E1962" t="str">
        <f t="shared" si="30"/>
        <v>1209-250981-44788</v>
      </c>
    </row>
    <row r="1963" spans="1:5" ht="14.25" customHeight="1">
      <c r="A1963" s="5">
        <v>1209</v>
      </c>
      <c r="B1963" s="5">
        <v>262294</v>
      </c>
      <c r="C1963" s="14">
        <v>44739</v>
      </c>
      <c r="D1963" s="5">
        <v>3</v>
      </c>
      <c r="E1963" t="str">
        <f t="shared" si="30"/>
        <v>1209-262294-44739</v>
      </c>
    </row>
    <row r="1964" spans="1:5" ht="14.25" customHeight="1">
      <c r="A1964" s="5">
        <v>1209</v>
      </c>
      <c r="B1964" s="5">
        <v>262294</v>
      </c>
      <c r="C1964" s="14">
        <v>44746</v>
      </c>
      <c r="D1964" s="5">
        <v>32</v>
      </c>
      <c r="E1964" t="str">
        <f t="shared" si="30"/>
        <v>1209-262294-44746</v>
      </c>
    </row>
    <row r="1965" spans="1:5" ht="14.25" customHeight="1">
      <c r="A1965" s="5">
        <v>1209</v>
      </c>
      <c r="B1965" s="5">
        <v>262294</v>
      </c>
      <c r="C1965" s="14">
        <v>44753</v>
      </c>
      <c r="D1965" s="5">
        <v>22</v>
      </c>
      <c r="E1965" t="str">
        <f t="shared" si="30"/>
        <v>1209-262294-44753</v>
      </c>
    </row>
    <row r="1966" spans="1:5" ht="14.25" customHeight="1">
      <c r="A1966" s="5">
        <v>1209</v>
      </c>
      <c r="B1966" s="5">
        <v>262294</v>
      </c>
      <c r="C1966" s="14">
        <v>44760</v>
      </c>
      <c r="D1966" s="5">
        <v>21</v>
      </c>
      <c r="E1966" t="str">
        <f t="shared" si="30"/>
        <v>1209-262294-44760</v>
      </c>
    </row>
    <row r="1967" spans="1:5" ht="14.25" customHeight="1">
      <c r="A1967" s="5">
        <v>1209</v>
      </c>
      <c r="B1967" s="5">
        <v>262294</v>
      </c>
      <c r="C1967" s="14">
        <v>44767</v>
      </c>
      <c r="D1967" s="5">
        <v>6</v>
      </c>
      <c r="E1967" t="str">
        <f t="shared" si="30"/>
        <v>1209-262294-44767</v>
      </c>
    </row>
    <row r="1968" spans="1:5" ht="14.25" customHeight="1">
      <c r="A1968" s="5">
        <v>1209</v>
      </c>
      <c r="B1968" s="5">
        <v>262294</v>
      </c>
      <c r="C1968" s="14">
        <v>44774</v>
      </c>
      <c r="D1968" s="5">
        <v>32</v>
      </c>
      <c r="E1968" t="str">
        <f t="shared" si="30"/>
        <v>1209-262294-44774</v>
      </c>
    </row>
    <row r="1969" spans="1:5" ht="14.25" customHeight="1">
      <c r="A1969" s="5">
        <v>1209</v>
      </c>
      <c r="B1969" s="5">
        <v>262294</v>
      </c>
      <c r="C1969" s="14">
        <v>44781</v>
      </c>
      <c r="D1969" s="5">
        <v>28</v>
      </c>
      <c r="E1969" t="str">
        <f t="shared" si="30"/>
        <v>1209-262294-44781</v>
      </c>
    </row>
    <row r="1970" spans="1:5" ht="14.25" customHeight="1">
      <c r="A1970" s="5">
        <v>1209</v>
      </c>
      <c r="B1970" s="5">
        <v>262294</v>
      </c>
      <c r="C1970" s="14">
        <v>44788</v>
      </c>
      <c r="D1970" s="5">
        <v>18</v>
      </c>
      <c r="E1970" t="str">
        <f t="shared" si="30"/>
        <v>1209-262294-44788</v>
      </c>
    </row>
    <row r="1971" spans="1:5" ht="14.25" customHeight="1">
      <c r="A1971" s="5">
        <v>1209</v>
      </c>
      <c r="B1971" s="5">
        <v>268831</v>
      </c>
      <c r="C1971" s="14">
        <v>44739</v>
      </c>
      <c r="D1971" s="5">
        <v>36</v>
      </c>
      <c r="E1971" t="str">
        <f t="shared" si="30"/>
        <v>1209-268831-44739</v>
      </c>
    </row>
    <row r="1972" spans="1:5" ht="14.25" customHeight="1">
      <c r="A1972" s="5">
        <v>1209</v>
      </c>
      <c r="B1972" s="5">
        <v>268831</v>
      </c>
      <c r="C1972" s="14">
        <v>44746</v>
      </c>
      <c r="D1972" s="5">
        <v>35</v>
      </c>
      <c r="E1972" t="str">
        <f t="shared" si="30"/>
        <v>1209-268831-44746</v>
      </c>
    </row>
    <row r="1973" spans="1:5" ht="14.25" customHeight="1">
      <c r="A1973" s="5">
        <v>1209</v>
      </c>
      <c r="B1973" s="5">
        <v>268831</v>
      </c>
      <c r="C1973" s="14">
        <v>44753</v>
      </c>
      <c r="D1973" s="5">
        <v>33</v>
      </c>
      <c r="E1973" t="str">
        <f t="shared" si="30"/>
        <v>1209-268831-44753</v>
      </c>
    </row>
    <row r="1974" spans="1:5" ht="14.25" customHeight="1">
      <c r="A1974" s="5">
        <v>1209</v>
      </c>
      <c r="B1974" s="5">
        <v>268831</v>
      </c>
      <c r="C1974" s="14">
        <v>44760</v>
      </c>
      <c r="D1974" s="5">
        <v>15</v>
      </c>
      <c r="E1974" t="str">
        <f t="shared" si="30"/>
        <v>1209-268831-44760</v>
      </c>
    </row>
    <row r="1975" spans="1:5" ht="14.25" customHeight="1">
      <c r="A1975" s="5">
        <v>1209</v>
      </c>
      <c r="B1975" s="5">
        <v>268831</v>
      </c>
      <c r="C1975" s="14">
        <v>44767</v>
      </c>
      <c r="D1975" s="5">
        <v>17</v>
      </c>
      <c r="E1975" t="str">
        <f t="shared" si="30"/>
        <v>1209-268831-44767</v>
      </c>
    </row>
    <row r="1976" spans="1:5" ht="14.25" customHeight="1">
      <c r="A1976" s="5">
        <v>1209</v>
      </c>
      <c r="B1976" s="5">
        <v>268831</v>
      </c>
      <c r="C1976" s="14">
        <v>44774</v>
      </c>
      <c r="D1976" s="5">
        <v>17</v>
      </c>
      <c r="E1976" t="str">
        <f t="shared" si="30"/>
        <v>1209-268831-44774</v>
      </c>
    </row>
    <row r="1977" spans="1:5" ht="14.25" customHeight="1">
      <c r="A1977" s="5">
        <v>1209</v>
      </c>
      <c r="B1977" s="5">
        <v>268831</v>
      </c>
      <c r="C1977" s="14">
        <v>44781</v>
      </c>
      <c r="D1977" s="5">
        <v>22</v>
      </c>
      <c r="E1977" t="str">
        <f t="shared" si="30"/>
        <v>1209-268831-44781</v>
      </c>
    </row>
    <row r="1978" spans="1:5" ht="14.25" customHeight="1">
      <c r="A1978" s="5">
        <v>1209</v>
      </c>
      <c r="B1978" s="5">
        <v>268831</v>
      </c>
      <c r="C1978" s="14">
        <v>44788</v>
      </c>
      <c r="D1978" s="5">
        <v>38</v>
      </c>
      <c r="E1978" t="str">
        <f t="shared" si="30"/>
        <v>1209-268831-44788</v>
      </c>
    </row>
    <row r="1979" spans="1:5" ht="14.25" customHeight="1">
      <c r="A1979" s="5">
        <v>1209</v>
      </c>
      <c r="B1979" s="5">
        <v>273701</v>
      </c>
      <c r="C1979" s="14">
        <v>44739</v>
      </c>
      <c r="D1979" s="5">
        <v>6</v>
      </c>
      <c r="E1979" t="str">
        <f t="shared" si="30"/>
        <v>1209-273701-44739</v>
      </c>
    </row>
    <row r="1980" spans="1:5" ht="14.25" customHeight="1">
      <c r="A1980" s="5">
        <v>1209</v>
      </c>
      <c r="B1980" s="5">
        <v>273701</v>
      </c>
      <c r="C1980" s="14">
        <v>44746</v>
      </c>
      <c r="D1980" s="5">
        <v>15</v>
      </c>
      <c r="E1980" t="str">
        <f t="shared" si="30"/>
        <v>1209-273701-44746</v>
      </c>
    </row>
    <row r="1981" spans="1:5" ht="14.25" customHeight="1">
      <c r="A1981" s="5">
        <v>1209</v>
      </c>
      <c r="B1981" s="5">
        <v>273701</v>
      </c>
      <c r="C1981" s="14">
        <v>44753</v>
      </c>
      <c r="D1981" s="5">
        <v>16</v>
      </c>
      <c r="E1981" t="str">
        <f t="shared" si="30"/>
        <v>1209-273701-44753</v>
      </c>
    </row>
    <row r="1982" spans="1:5" ht="14.25" customHeight="1">
      <c r="A1982" s="5">
        <v>1209</v>
      </c>
      <c r="B1982" s="5">
        <v>273701</v>
      </c>
      <c r="C1982" s="14">
        <v>44760</v>
      </c>
      <c r="D1982" s="5">
        <v>15</v>
      </c>
      <c r="E1982" t="str">
        <f t="shared" si="30"/>
        <v>1209-273701-44760</v>
      </c>
    </row>
    <row r="1983" spans="1:5" ht="14.25" customHeight="1">
      <c r="A1983" s="5">
        <v>1209</v>
      </c>
      <c r="B1983" s="5">
        <v>273701</v>
      </c>
      <c r="C1983" s="14">
        <v>44767</v>
      </c>
      <c r="D1983" s="5">
        <v>12</v>
      </c>
      <c r="E1983" t="str">
        <f t="shared" si="30"/>
        <v>1209-273701-44767</v>
      </c>
    </row>
    <row r="1984" spans="1:5" ht="14.25" customHeight="1">
      <c r="A1984" s="5">
        <v>1209</v>
      </c>
      <c r="B1984" s="5">
        <v>273701</v>
      </c>
      <c r="C1984" s="14">
        <v>44774</v>
      </c>
      <c r="D1984" s="5">
        <v>3</v>
      </c>
      <c r="E1984" t="str">
        <f t="shared" si="30"/>
        <v>1209-273701-44774</v>
      </c>
    </row>
    <row r="1985" spans="1:5" ht="14.25" customHeight="1">
      <c r="A1985" s="5">
        <v>1209</v>
      </c>
      <c r="B1985" s="5">
        <v>273701</v>
      </c>
      <c r="C1985" s="14">
        <v>44781</v>
      </c>
      <c r="D1985" s="5">
        <v>11</v>
      </c>
      <c r="E1985" t="str">
        <f t="shared" si="30"/>
        <v>1209-273701-44781</v>
      </c>
    </row>
    <row r="1986" spans="1:5" ht="14.25" customHeight="1">
      <c r="A1986" s="5">
        <v>1209</v>
      </c>
      <c r="B1986" s="5">
        <v>273701</v>
      </c>
      <c r="C1986" s="14">
        <v>44788</v>
      </c>
      <c r="D1986" s="5">
        <v>15</v>
      </c>
      <c r="E1986" t="str">
        <f t="shared" si="30"/>
        <v>1209-273701-44788</v>
      </c>
    </row>
    <row r="1987" spans="1:5" ht="14.25" customHeight="1">
      <c r="A1987" s="5">
        <v>1209</v>
      </c>
      <c r="B1987" s="5">
        <v>291726</v>
      </c>
      <c r="C1987" s="14">
        <v>44739</v>
      </c>
      <c r="D1987" s="5">
        <v>14</v>
      </c>
      <c r="E1987" t="str">
        <f t="shared" ref="E1987:E2050" si="31">A1987&amp;"-"&amp;B1987&amp;"-"&amp;INT(C1987)</f>
        <v>1209-291726-44739</v>
      </c>
    </row>
    <row r="1988" spans="1:5" ht="14.25" customHeight="1">
      <c r="A1988" s="5">
        <v>1209</v>
      </c>
      <c r="B1988" s="5">
        <v>291726</v>
      </c>
      <c r="C1988" s="14">
        <v>44746</v>
      </c>
      <c r="D1988" s="5">
        <v>14</v>
      </c>
      <c r="E1988" t="str">
        <f t="shared" si="31"/>
        <v>1209-291726-44746</v>
      </c>
    </row>
    <row r="1989" spans="1:5" ht="14.25" customHeight="1">
      <c r="A1989" s="5">
        <v>1209</v>
      </c>
      <c r="B1989" s="5">
        <v>291726</v>
      </c>
      <c r="C1989" s="14">
        <v>44753</v>
      </c>
      <c r="D1989" s="5">
        <v>8</v>
      </c>
      <c r="E1989" t="str">
        <f t="shared" si="31"/>
        <v>1209-291726-44753</v>
      </c>
    </row>
    <row r="1990" spans="1:5" ht="14.25" customHeight="1">
      <c r="A1990" s="5">
        <v>1209</v>
      </c>
      <c r="B1990" s="5">
        <v>291726</v>
      </c>
      <c r="C1990" s="14">
        <v>44760</v>
      </c>
      <c r="D1990" s="5">
        <v>12</v>
      </c>
      <c r="E1990" t="str">
        <f t="shared" si="31"/>
        <v>1209-291726-44760</v>
      </c>
    </row>
    <row r="1991" spans="1:5" ht="14.25" customHeight="1">
      <c r="A1991" s="5">
        <v>1209</v>
      </c>
      <c r="B1991" s="5">
        <v>291726</v>
      </c>
      <c r="C1991" s="14">
        <v>44767</v>
      </c>
      <c r="D1991" s="5">
        <v>7</v>
      </c>
      <c r="E1991" t="str">
        <f t="shared" si="31"/>
        <v>1209-291726-44767</v>
      </c>
    </row>
    <row r="1992" spans="1:5" ht="14.25" customHeight="1">
      <c r="A1992" s="5">
        <v>1209</v>
      </c>
      <c r="B1992" s="5">
        <v>291726</v>
      </c>
      <c r="C1992" s="14">
        <v>44774</v>
      </c>
      <c r="D1992" s="5">
        <v>10</v>
      </c>
      <c r="E1992" t="str">
        <f t="shared" si="31"/>
        <v>1209-291726-44774</v>
      </c>
    </row>
    <row r="1993" spans="1:5" ht="14.25" customHeight="1">
      <c r="A1993" s="5">
        <v>1209</v>
      </c>
      <c r="B1993" s="5">
        <v>291726</v>
      </c>
      <c r="C1993" s="14">
        <v>44781</v>
      </c>
      <c r="D1993" s="5">
        <v>-2</v>
      </c>
      <c r="E1993" t="str">
        <f t="shared" si="31"/>
        <v>1209-291726-44781</v>
      </c>
    </row>
    <row r="1994" spans="1:5" ht="14.25" customHeight="1">
      <c r="A1994" s="5">
        <v>1209</v>
      </c>
      <c r="B1994" s="5">
        <v>291726</v>
      </c>
      <c r="C1994" s="14">
        <v>44788</v>
      </c>
      <c r="D1994" s="5">
        <v>6</v>
      </c>
      <c r="E1994" t="str">
        <f t="shared" si="31"/>
        <v>1209-291726-44788</v>
      </c>
    </row>
    <row r="1995" spans="1:5" ht="14.25" customHeight="1">
      <c r="A1995" s="5">
        <v>1209</v>
      </c>
      <c r="B1995" s="5">
        <v>300380</v>
      </c>
      <c r="C1995" s="14">
        <v>32874</v>
      </c>
      <c r="D1995" s="5">
        <v>18</v>
      </c>
      <c r="E1995" t="str">
        <f t="shared" si="31"/>
        <v>1209-300380-32874</v>
      </c>
    </row>
    <row r="1996" spans="1:5" ht="14.25" customHeight="1">
      <c r="A1996" s="5">
        <v>1209</v>
      </c>
      <c r="B1996" s="5">
        <v>300380</v>
      </c>
      <c r="C1996" s="14">
        <v>44739</v>
      </c>
      <c r="D1996" s="5">
        <v>77</v>
      </c>
      <c r="E1996" t="str">
        <f t="shared" si="31"/>
        <v>1209-300380-44739</v>
      </c>
    </row>
    <row r="1997" spans="1:5" ht="14.25" customHeight="1">
      <c r="A1997" s="5">
        <v>1209</v>
      </c>
      <c r="B1997" s="5">
        <v>300380</v>
      </c>
      <c r="C1997" s="14">
        <v>44746</v>
      </c>
      <c r="D1997" s="5">
        <v>70</v>
      </c>
      <c r="E1997" t="str">
        <f t="shared" si="31"/>
        <v>1209-300380-44746</v>
      </c>
    </row>
    <row r="1998" spans="1:5" ht="14.25" customHeight="1">
      <c r="A1998" s="5">
        <v>1209</v>
      </c>
      <c r="B1998" s="5">
        <v>300380</v>
      </c>
      <c r="C1998" s="17">
        <v>44753</v>
      </c>
      <c r="D1998" s="5">
        <v>73</v>
      </c>
      <c r="E1998" t="str">
        <f t="shared" si="31"/>
        <v>1209-300380-44753</v>
      </c>
    </row>
    <row r="1999" spans="1:5" ht="14.25" customHeight="1">
      <c r="A1999" s="5">
        <v>1209</v>
      </c>
      <c r="B1999" s="5">
        <v>300380</v>
      </c>
      <c r="C1999" s="17">
        <v>44760</v>
      </c>
      <c r="D1999" s="5">
        <v>67</v>
      </c>
      <c r="E1999" t="str">
        <f t="shared" si="31"/>
        <v>1209-300380-44760</v>
      </c>
    </row>
    <row r="2000" spans="1:5" ht="14.25" customHeight="1">
      <c r="A2000" s="5">
        <v>1209</v>
      </c>
      <c r="B2000" s="5">
        <v>300380</v>
      </c>
      <c r="C2000" s="17">
        <v>44767</v>
      </c>
      <c r="D2000" s="5">
        <v>48</v>
      </c>
      <c r="E2000" t="str">
        <f t="shared" si="31"/>
        <v>1209-300380-44767</v>
      </c>
    </row>
    <row r="2001" spans="1:5" ht="14.25" customHeight="1">
      <c r="A2001" s="5">
        <v>1209</v>
      </c>
      <c r="B2001" s="5">
        <v>300380</v>
      </c>
      <c r="C2001" s="17">
        <v>44774</v>
      </c>
      <c r="D2001" s="5">
        <v>66</v>
      </c>
      <c r="E2001" t="str">
        <f t="shared" si="31"/>
        <v>1209-300380-44774</v>
      </c>
    </row>
    <row r="2002" spans="1:5" ht="14.25" customHeight="1">
      <c r="A2002" s="5">
        <v>1209</v>
      </c>
      <c r="B2002" s="5">
        <v>300380</v>
      </c>
      <c r="C2002" s="17">
        <v>44781</v>
      </c>
      <c r="D2002" s="5">
        <v>72</v>
      </c>
      <c r="E2002" t="str">
        <f t="shared" si="31"/>
        <v>1209-300380-44781</v>
      </c>
    </row>
    <row r="2003" spans="1:5" ht="14.25" customHeight="1">
      <c r="A2003" s="5">
        <v>1209</v>
      </c>
      <c r="B2003" s="5">
        <v>300380</v>
      </c>
      <c r="C2003" s="17">
        <v>44788</v>
      </c>
      <c r="D2003" s="5">
        <v>14</v>
      </c>
      <c r="E2003" t="str">
        <f t="shared" si="31"/>
        <v>1209-300380-44788</v>
      </c>
    </row>
    <row r="2004" spans="1:5" ht="14.25" customHeight="1">
      <c r="A2004" s="5">
        <v>1209</v>
      </c>
      <c r="B2004" s="5">
        <v>571521</v>
      </c>
      <c r="C2004" s="17">
        <v>44739</v>
      </c>
      <c r="D2004" s="5">
        <v>45</v>
      </c>
      <c r="E2004" t="str">
        <f t="shared" si="31"/>
        <v>1209-571521-44739</v>
      </c>
    </row>
    <row r="2005" spans="1:5" ht="14.25" customHeight="1">
      <c r="A2005" s="5">
        <v>1209</v>
      </c>
      <c r="B2005" s="5">
        <v>571521</v>
      </c>
      <c r="C2005" s="17">
        <v>44746</v>
      </c>
      <c r="D2005" s="5">
        <v>30</v>
      </c>
      <c r="E2005" t="str">
        <f t="shared" si="31"/>
        <v>1209-571521-44746</v>
      </c>
    </row>
    <row r="2006" spans="1:5" ht="14.25" customHeight="1">
      <c r="A2006" s="5">
        <v>1209</v>
      </c>
      <c r="B2006" s="5">
        <v>571521</v>
      </c>
      <c r="C2006" s="17">
        <v>44753</v>
      </c>
      <c r="D2006" s="5">
        <v>8</v>
      </c>
      <c r="E2006" t="str">
        <f t="shared" si="31"/>
        <v>1209-571521-44753</v>
      </c>
    </row>
    <row r="2007" spans="1:5" ht="14.25" customHeight="1">
      <c r="A2007" s="5">
        <v>1209</v>
      </c>
      <c r="B2007" s="5">
        <v>571521</v>
      </c>
      <c r="C2007" s="17">
        <v>44760</v>
      </c>
      <c r="D2007" s="5">
        <v>28</v>
      </c>
      <c r="E2007" t="str">
        <f t="shared" si="31"/>
        <v>1209-571521-44760</v>
      </c>
    </row>
    <row r="2008" spans="1:5" ht="14.25" customHeight="1">
      <c r="A2008" s="5">
        <v>1209</v>
      </c>
      <c r="B2008" s="5">
        <v>571521</v>
      </c>
      <c r="C2008" s="17">
        <v>44767</v>
      </c>
      <c r="D2008" s="5">
        <v>30</v>
      </c>
      <c r="E2008" t="str">
        <f t="shared" si="31"/>
        <v>1209-571521-44767</v>
      </c>
    </row>
    <row r="2009" spans="1:5" ht="14.25" customHeight="1">
      <c r="A2009" s="5">
        <v>1209</v>
      </c>
      <c r="B2009" s="5">
        <v>571521</v>
      </c>
      <c r="C2009" s="17">
        <v>44774</v>
      </c>
      <c r="D2009" s="5">
        <v>30</v>
      </c>
      <c r="E2009" t="str">
        <f t="shared" si="31"/>
        <v>1209-571521-44774</v>
      </c>
    </row>
    <row r="2010" spans="1:5" ht="14.25" customHeight="1">
      <c r="A2010" s="5">
        <v>1209</v>
      </c>
      <c r="B2010" s="5">
        <v>571521</v>
      </c>
      <c r="C2010" s="17">
        <v>44781</v>
      </c>
      <c r="D2010" s="5">
        <v>36</v>
      </c>
      <c r="E2010" t="str">
        <f t="shared" si="31"/>
        <v>1209-571521-44781</v>
      </c>
    </row>
    <row r="2011" spans="1:5" ht="14.25" customHeight="1">
      <c r="A2011" s="5">
        <v>1209</v>
      </c>
      <c r="B2011" s="5">
        <v>571521</v>
      </c>
      <c r="C2011" s="17">
        <v>44788</v>
      </c>
      <c r="D2011" s="5">
        <v>7</v>
      </c>
      <c r="E2011" t="str">
        <f t="shared" si="31"/>
        <v>1209-571521-44788</v>
      </c>
    </row>
    <row r="2012" spans="1:5" ht="14.25" customHeight="1">
      <c r="A2012" s="5">
        <v>1210</v>
      </c>
      <c r="B2012" s="5">
        <v>23393</v>
      </c>
      <c r="C2012" s="17">
        <v>32874</v>
      </c>
      <c r="D2012" s="5">
        <v>360</v>
      </c>
      <c r="E2012" t="str">
        <f t="shared" si="31"/>
        <v>1210-23393-32874</v>
      </c>
    </row>
    <row r="2013" spans="1:5" ht="14.25" customHeight="1">
      <c r="A2013" s="5">
        <v>1210</v>
      </c>
      <c r="B2013" s="5">
        <v>23393</v>
      </c>
      <c r="C2013" s="17">
        <v>44739</v>
      </c>
      <c r="D2013" s="5">
        <v>441</v>
      </c>
      <c r="E2013" t="str">
        <f t="shared" si="31"/>
        <v>1210-23393-44739</v>
      </c>
    </row>
    <row r="2014" spans="1:5" ht="14.25" customHeight="1">
      <c r="A2014" s="5">
        <v>1210</v>
      </c>
      <c r="B2014" s="5">
        <v>23393</v>
      </c>
      <c r="C2014" s="17">
        <v>44746</v>
      </c>
      <c r="D2014" s="5">
        <v>472</v>
      </c>
      <c r="E2014" t="str">
        <f t="shared" si="31"/>
        <v>1210-23393-44746</v>
      </c>
    </row>
    <row r="2015" spans="1:5" ht="14.25" customHeight="1">
      <c r="A2015" s="5">
        <v>1210</v>
      </c>
      <c r="B2015" s="5">
        <v>23393</v>
      </c>
      <c r="C2015" s="17">
        <v>44753</v>
      </c>
      <c r="D2015" s="5">
        <v>491</v>
      </c>
      <c r="E2015" t="str">
        <f t="shared" si="31"/>
        <v>1210-23393-44753</v>
      </c>
    </row>
    <row r="2016" spans="1:5" ht="14.25" customHeight="1">
      <c r="A2016" s="5">
        <v>1210</v>
      </c>
      <c r="B2016" s="5">
        <v>23393</v>
      </c>
      <c r="C2016" s="17">
        <v>44760</v>
      </c>
      <c r="D2016" s="5">
        <v>222</v>
      </c>
      <c r="E2016" t="str">
        <f t="shared" si="31"/>
        <v>1210-23393-44760</v>
      </c>
    </row>
    <row r="2017" spans="1:5" ht="14.25" customHeight="1">
      <c r="A2017" s="5">
        <v>1210</v>
      </c>
      <c r="B2017" s="5">
        <v>23393</v>
      </c>
      <c r="C2017" s="17">
        <v>44767</v>
      </c>
      <c r="D2017" s="5">
        <v>484</v>
      </c>
      <c r="E2017" t="str">
        <f t="shared" si="31"/>
        <v>1210-23393-44767</v>
      </c>
    </row>
    <row r="2018" spans="1:5" ht="14.25" customHeight="1">
      <c r="A2018" s="5">
        <v>1210</v>
      </c>
      <c r="B2018" s="5">
        <v>23393</v>
      </c>
      <c r="C2018" s="17">
        <v>44774</v>
      </c>
      <c r="D2018" s="5">
        <v>472</v>
      </c>
      <c r="E2018" t="str">
        <f t="shared" si="31"/>
        <v>1210-23393-44774</v>
      </c>
    </row>
    <row r="2019" spans="1:5" ht="14.25" customHeight="1">
      <c r="A2019" s="5">
        <v>1210</v>
      </c>
      <c r="B2019" s="5">
        <v>23393</v>
      </c>
      <c r="C2019" s="17">
        <v>44781</v>
      </c>
      <c r="D2019" s="5">
        <v>440</v>
      </c>
      <c r="E2019" t="str">
        <f t="shared" si="31"/>
        <v>1210-23393-44781</v>
      </c>
    </row>
    <row r="2020" spans="1:5" ht="14.25" customHeight="1">
      <c r="A2020" s="5">
        <v>1210</v>
      </c>
      <c r="B2020" s="5">
        <v>23393</v>
      </c>
      <c r="C2020" s="17">
        <v>44788</v>
      </c>
      <c r="D2020" s="5">
        <v>218</v>
      </c>
      <c r="E2020" t="str">
        <f t="shared" si="31"/>
        <v>1210-23393-44788</v>
      </c>
    </row>
    <row r="2021" spans="1:5" ht="14.25" customHeight="1">
      <c r="A2021" s="5">
        <v>1210</v>
      </c>
      <c r="B2021" s="5">
        <v>26764</v>
      </c>
      <c r="C2021" s="17">
        <v>44739</v>
      </c>
      <c r="D2021" s="5">
        <v>207</v>
      </c>
      <c r="E2021" t="str">
        <f t="shared" si="31"/>
        <v>1210-26764-44739</v>
      </c>
    </row>
    <row r="2022" spans="1:5" ht="14.25" customHeight="1">
      <c r="A2022" s="5">
        <v>1210</v>
      </c>
      <c r="B2022" s="5">
        <v>26764</v>
      </c>
      <c r="C2022" s="17">
        <v>44746</v>
      </c>
      <c r="D2022" s="5">
        <v>173</v>
      </c>
      <c r="E2022" t="str">
        <f t="shared" si="31"/>
        <v>1210-26764-44746</v>
      </c>
    </row>
    <row r="2023" spans="1:5" ht="14.25" customHeight="1">
      <c r="A2023" s="5">
        <v>1210</v>
      </c>
      <c r="B2023" s="5">
        <v>26764</v>
      </c>
      <c r="C2023" s="17">
        <v>44753</v>
      </c>
      <c r="D2023" s="5">
        <v>170</v>
      </c>
      <c r="E2023" t="str">
        <f t="shared" si="31"/>
        <v>1210-26764-44753</v>
      </c>
    </row>
    <row r="2024" spans="1:5" ht="14.25" customHeight="1">
      <c r="A2024" s="5">
        <v>1210</v>
      </c>
      <c r="B2024" s="5">
        <v>26764</v>
      </c>
      <c r="C2024" s="17">
        <v>44760</v>
      </c>
      <c r="D2024" s="5">
        <v>80</v>
      </c>
      <c r="E2024" t="str">
        <f t="shared" si="31"/>
        <v>1210-26764-44760</v>
      </c>
    </row>
    <row r="2025" spans="1:5" ht="14.25" customHeight="1">
      <c r="A2025" s="5">
        <v>1210</v>
      </c>
      <c r="B2025" s="5">
        <v>26764</v>
      </c>
      <c r="C2025" s="17">
        <v>44767</v>
      </c>
      <c r="D2025" s="5">
        <v>198</v>
      </c>
      <c r="E2025" t="str">
        <f t="shared" si="31"/>
        <v>1210-26764-44767</v>
      </c>
    </row>
    <row r="2026" spans="1:5" ht="14.25" customHeight="1">
      <c r="A2026" s="5">
        <v>1210</v>
      </c>
      <c r="B2026" s="5">
        <v>26764</v>
      </c>
      <c r="C2026" s="17">
        <v>44774</v>
      </c>
      <c r="D2026" s="5">
        <v>254</v>
      </c>
      <c r="E2026" t="str">
        <f t="shared" si="31"/>
        <v>1210-26764-44774</v>
      </c>
    </row>
    <row r="2027" spans="1:5" ht="14.25" customHeight="1">
      <c r="A2027" s="5">
        <v>1210</v>
      </c>
      <c r="B2027" s="5">
        <v>26764</v>
      </c>
      <c r="C2027" s="17">
        <v>44781</v>
      </c>
      <c r="D2027" s="5">
        <v>77</v>
      </c>
      <c r="E2027" t="str">
        <f t="shared" si="31"/>
        <v>1210-26764-44781</v>
      </c>
    </row>
    <row r="2028" spans="1:5" ht="14.25" customHeight="1">
      <c r="A2028" s="5">
        <v>1210</v>
      </c>
      <c r="B2028" s="5">
        <v>26764</v>
      </c>
      <c r="C2028" s="17">
        <v>44788</v>
      </c>
      <c r="D2028" s="5">
        <v>76</v>
      </c>
      <c r="E2028" t="str">
        <f t="shared" si="31"/>
        <v>1210-26764-44788</v>
      </c>
    </row>
    <row r="2029" spans="1:5" ht="14.25" customHeight="1">
      <c r="A2029" s="5">
        <v>1210</v>
      </c>
      <c r="B2029" s="5">
        <v>53934</v>
      </c>
      <c r="C2029" s="17">
        <v>44739</v>
      </c>
      <c r="D2029" s="5">
        <v>206</v>
      </c>
      <c r="E2029" t="str">
        <f t="shared" si="31"/>
        <v>1210-53934-44739</v>
      </c>
    </row>
    <row r="2030" spans="1:5" ht="14.25" customHeight="1">
      <c r="A2030" s="5">
        <v>1210</v>
      </c>
      <c r="B2030" s="5">
        <v>53934</v>
      </c>
      <c r="C2030" s="17">
        <v>44746</v>
      </c>
      <c r="D2030" s="5">
        <v>600</v>
      </c>
      <c r="E2030" t="str">
        <f t="shared" si="31"/>
        <v>1210-53934-44746</v>
      </c>
    </row>
    <row r="2031" spans="1:5" ht="14.25" customHeight="1">
      <c r="A2031" s="5">
        <v>1210</v>
      </c>
      <c r="B2031" s="5">
        <v>53934</v>
      </c>
      <c r="C2031" s="17">
        <v>44753</v>
      </c>
      <c r="D2031" s="5">
        <v>423</v>
      </c>
      <c r="E2031" t="str">
        <f t="shared" si="31"/>
        <v>1210-53934-44753</v>
      </c>
    </row>
    <row r="2032" spans="1:5" ht="14.25" customHeight="1">
      <c r="A2032" s="5">
        <v>1210</v>
      </c>
      <c r="B2032" s="5">
        <v>53934</v>
      </c>
      <c r="C2032" s="17">
        <v>44760</v>
      </c>
      <c r="D2032" s="5">
        <v>508</v>
      </c>
      <c r="E2032" t="str">
        <f t="shared" si="31"/>
        <v>1210-53934-44760</v>
      </c>
    </row>
    <row r="2033" spans="1:5" ht="14.25" customHeight="1">
      <c r="A2033" s="5">
        <v>1210</v>
      </c>
      <c r="B2033" s="5">
        <v>53934</v>
      </c>
      <c r="C2033" s="17">
        <v>44767</v>
      </c>
      <c r="D2033" s="5">
        <v>460</v>
      </c>
      <c r="E2033" t="str">
        <f t="shared" si="31"/>
        <v>1210-53934-44767</v>
      </c>
    </row>
    <row r="2034" spans="1:5" ht="14.25" customHeight="1">
      <c r="A2034" s="5">
        <v>1210</v>
      </c>
      <c r="B2034" s="5">
        <v>53934</v>
      </c>
      <c r="C2034" s="17">
        <v>44774</v>
      </c>
      <c r="D2034" s="5">
        <v>652</v>
      </c>
      <c r="E2034" t="str">
        <f t="shared" si="31"/>
        <v>1210-53934-44774</v>
      </c>
    </row>
    <row r="2035" spans="1:5" ht="14.25" customHeight="1">
      <c r="A2035" s="5">
        <v>1210</v>
      </c>
      <c r="B2035" s="5">
        <v>53934</v>
      </c>
      <c r="C2035" s="17">
        <v>44781</v>
      </c>
      <c r="D2035" s="5">
        <v>444</v>
      </c>
      <c r="E2035" t="str">
        <f t="shared" si="31"/>
        <v>1210-53934-44781</v>
      </c>
    </row>
    <row r="2036" spans="1:5" ht="14.25" customHeight="1">
      <c r="A2036" s="5">
        <v>1210</v>
      </c>
      <c r="B2036" s="5">
        <v>53934</v>
      </c>
      <c r="C2036" s="17">
        <v>44788</v>
      </c>
      <c r="D2036" s="5">
        <v>209</v>
      </c>
      <c r="E2036" t="str">
        <f t="shared" si="31"/>
        <v>1210-53934-44788</v>
      </c>
    </row>
    <row r="2037" spans="1:5" ht="14.25" customHeight="1">
      <c r="A2037" s="5">
        <v>1210</v>
      </c>
      <c r="B2037" s="5">
        <v>78699</v>
      </c>
      <c r="C2037" s="17">
        <v>44739</v>
      </c>
      <c r="D2037" s="5">
        <v>1</v>
      </c>
      <c r="E2037" t="str">
        <f t="shared" si="31"/>
        <v>1210-78699-44739</v>
      </c>
    </row>
    <row r="2038" spans="1:5" ht="14.25" customHeight="1">
      <c r="A2038" s="5">
        <v>1210</v>
      </c>
      <c r="B2038" s="5">
        <v>78699</v>
      </c>
      <c r="C2038" s="17">
        <v>44746</v>
      </c>
      <c r="D2038" s="5">
        <v>-1</v>
      </c>
      <c r="E2038" t="str">
        <f t="shared" si="31"/>
        <v>1210-78699-44746</v>
      </c>
    </row>
    <row r="2039" spans="1:5" ht="14.25" customHeight="1">
      <c r="A2039" s="5">
        <v>1210</v>
      </c>
      <c r="B2039" s="5">
        <v>78699</v>
      </c>
      <c r="C2039" s="17">
        <v>44753</v>
      </c>
      <c r="D2039" s="5">
        <v>9</v>
      </c>
      <c r="E2039" t="str">
        <f t="shared" si="31"/>
        <v>1210-78699-44753</v>
      </c>
    </row>
    <row r="2040" spans="1:5" ht="14.25" customHeight="1">
      <c r="A2040" s="5">
        <v>1210</v>
      </c>
      <c r="B2040" s="5">
        <v>78699</v>
      </c>
      <c r="C2040" s="17">
        <v>44760</v>
      </c>
      <c r="D2040" s="5">
        <v>12</v>
      </c>
      <c r="E2040" t="str">
        <f t="shared" si="31"/>
        <v>1210-78699-44760</v>
      </c>
    </row>
    <row r="2041" spans="1:5" ht="14.25" customHeight="1">
      <c r="A2041" s="5">
        <v>1210</v>
      </c>
      <c r="B2041" s="5">
        <v>78699</v>
      </c>
      <c r="C2041" s="17">
        <v>44767</v>
      </c>
      <c r="D2041" s="5">
        <v>10</v>
      </c>
      <c r="E2041" t="str">
        <f t="shared" si="31"/>
        <v>1210-78699-44767</v>
      </c>
    </row>
    <row r="2042" spans="1:5" ht="14.25" customHeight="1">
      <c r="A2042" s="5">
        <v>1210</v>
      </c>
      <c r="B2042" s="5">
        <v>78699</v>
      </c>
      <c r="C2042" s="17">
        <v>44774</v>
      </c>
      <c r="D2042" s="5">
        <v>11</v>
      </c>
      <c r="E2042" t="str">
        <f t="shared" si="31"/>
        <v>1210-78699-44774</v>
      </c>
    </row>
    <row r="2043" spans="1:5" ht="14.25" customHeight="1">
      <c r="A2043" s="5">
        <v>1210</v>
      </c>
      <c r="B2043" s="5">
        <v>78699</v>
      </c>
      <c r="C2043" s="17">
        <v>44781</v>
      </c>
      <c r="D2043" s="5">
        <v>5</v>
      </c>
      <c r="E2043" t="str">
        <f t="shared" si="31"/>
        <v>1210-78699-44781</v>
      </c>
    </row>
    <row r="2044" spans="1:5" ht="14.25" customHeight="1">
      <c r="A2044" s="5">
        <v>1210</v>
      </c>
      <c r="B2044" s="5">
        <v>78699</v>
      </c>
      <c r="C2044" s="17">
        <v>44788</v>
      </c>
      <c r="D2044" s="5">
        <v>12</v>
      </c>
      <c r="E2044" t="str">
        <f t="shared" si="31"/>
        <v>1210-78699-44788</v>
      </c>
    </row>
    <row r="2045" spans="1:5" ht="14.25" customHeight="1">
      <c r="A2045" s="5">
        <v>1210</v>
      </c>
      <c r="B2045" s="5">
        <v>78869</v>
      </c>
      <c r="C2045" s="17">
        <v>44739</v>
      </c>
      <c r="D2045" s="5">
        <v>33</v>
      </c>
      <c r="E2045" t="str">
        <f t="shared" si="31"/>
        <v>1210-78869-44739</v>
      </c>
    </row>
    <row r="2046" spans="1:5" ht="14.25" customHeight="1">
      <c r="A2046" s="5">
        <v>1210</v>
      </c>
      <c r="B2046" s="5">
        <v>78869</v>
      </c>
      <c r="C2046" s="17">
        <v>44746</v>
      </c>
      <c r="D2046" s="5">
        <v>26</v>
      </c>
      <c r="E2046" t="str">
        <f t="shared" si="31"/>
        <v>1210-78869-44746</v>
      </c>
    </row>
    <row r="2047" spans="1:5" ht="14.25" customHeight="1">
      <c r="A2047" s="5">
        <v>1210</v>
      </c>
      <c r="B2047" s="5">
        <v>78869</v>
      </c>
      <c r="C2047" s="17">
        <v>44753</v>
      </c>
      <c r="D2047" s="5">
        <v>32</v>
      </c>
      <c r="E2047" t="str">
        <f t="shared" si="31"/>
        <v>1210-78869-44753</v>
      </c>
    </row>
    <row r="2048" spans="1:5" ht="14.25" customHeight="1">
      <c r="A2048" s="5">
        <v>1210</v>
      </c>
      <c r="B2048" s="5">
        <v>78869</v>
      </c>
      <c r="C2048" s="17">
        <v>44760</v>
      </c>
      <c r="D2048" s="5">
        <v>15</v>
      </c>
      <c r="E2048" t="str">
        <f t="shared" si="31"/>
        <v>1210-78869-44760</v>
      </c>
    </row>
    <row r="2049" spans="1:5" ht="14.25" customHeight="1">
      <c r="A2049" s="5">
        <v>1210</v>
      </c>
      <c r="B2049" s="5">
        <v>78869</v>
      </c>
      <c r="C2049" s="17">
        <v>44767</v>
      </c>
      <c r="D2049" s="5">
        <v>38</v>
      </c>
      <c r="E2049" t="str">
        <f t="shared" si="31"/>
        <v>1210-78869-44767</v>
      </c>
    </row>
    <row r="2050" spans="1:5" ht="14.25" customHeight="1">
      <c r="A2050" s="5">
        <v>1210</v>
      </c>
      <c r="B2050" s="5">
        <v>78869</v>
      </c>
      <c r="C2050" s="17">
        <v>44774</v>
      </c>
      <c r="D2050" s="5">
        <v>11</v>
      </c>
      <c r="E2050" t="str">
        <f t="shared" si="31"/>
        <v>1210-78869-44774</v>
      </c>
    </row>
    <row r="2051" spans="1:5" ht="14.25" customHeight="1">
      <c r="A2051" s="5">
        <v>1210</v>
      </c>
      <c r="B2051" s="5">
        <v>78869</v>
      </c>
      <c r="C2051" s="17">
        <v>44781</v>
      </c>
      <c r="D2051" s="5">
        <v>27</v>
      </c>
      <c r="E2051" t="str">
        <f t="shared" ref="E2051:E2114" si="32">A2051&amp;"-"&amp;B2051&amp;"-"&amp;INT(C2051)</f>
        <v>1210-78869-44781</v>
      </c>
    </row>
    <row r="2052" spans="1:5" ht="14.25" customHeight="1">
      <c r="A2052" s="5">
        <v>1210</v>
      </c>
      <c r="B2052" s="5">
        <v>78869</v>
      </c>
      <c r="C2052" s="17">
        <v>44788</v>
      </c>
      <c r="D2052" s="5">
        <v>27</v>
      </c>
      <c r="E2052" t="str">
        <f t="shared" si="32"/>
        <v>1210-78869-44788</v>
      </c>
    </row>
    <row r="2053" spans="1:5" ht="14.25" customHeight="1">
      <c r="A2053" s="5">
        <v>1210</v>
      </c>
      <c r="B2053" s="5">
        <v>115600</v>
      </c>
      <c r="C2053" s="17">
        <v>32874</v>
      </c>
      <c r="D2053" s="5">
        <v>3</v>
      </c>
      <c r="E2053" t="str">
        <f t="shared" si="32"/>
        <v>1210-115600-32874</v>
      </c>
    </row>
    <row r="2054" spans="1:5" ht="14.25" customHeight="1">
      <c r="A2054" s="5">
        <v>1210</v>
      </c>
      <c r="B2054" s="5">
        <v>115600</v>
      </c>
      <c r="C2054" s="17">
        <v>44739</v>
      </c>
      <c r="D2054" s="5">
        <v>3</v>
      </c>
      <c r="E2054" t="str">
        <f t="shared" si="32"/>
        <v>1210-115600-44739</v>
      </c>
    </row>
    <row r="2055" spans="1:5" ht="14.25" customHeight="1">
      <c r="A2055" s="5">
        <v>1210</v>
      </c>
      <c r="B2055" s="5">
        <v>115600</v>
      </c>
      <c r="C2055" s="17">
        <v>44746</v>
      </c>
      <c r="D2055" s="5">
        <v>3</v>
      </c>
      <c r="E2055" t="str">
        <f t="shared" si="32"/>
        <v>1210-115600-44746</v>
      </c>
    </row>
    <row r="2056" spans="1:5" ht="14.25" customHeight="1">
      <c r="A2056" s="5">
        <v>1210</v>
      </c>
      <c r="B2056" s="5">
        <v>115600</v>
      </c>
      <c r="C2056" s="17">
        <v>44753</v>
      </c>
      <c r="D2056" s="5">
        <v>3</v>
      </c>
      <c r="E2056" t="str">
        <f t="shared" si="32"/>
        <v>1210-115600-44753</v>
      </c>
    </row>
    <row r="2057" spans="1:5" ht="14.25" customHeight="1">
      <c r="A2057" s="5">
        <v>1210</v>
      </c>
      <c r="B2057" s="5">
        <v>115600</v>
      </c>
      <c r="C2057" s="17">
        <v>44760</v>
      </c>
      <c r="D2057" s="5">
        <v>3</v>
      </c>
      <c r="E2057" t="str">
        <f t="shared" si="32"/>
        <v>1210-115600-44760</v>
      </c>
    </row>
    <row r="2058" spans="1:5" ht="14.25" customHeight="1">
      <c r="A2058" s="5">
        <v>1210</v>
      </c>
      <c r="B2058" s="5">
        <v>115600</v>
      </c>
      <c r="C2058" s="17">
        <v>44767</v>
      </c>
      <c r="D2058" s="5">
        <v>3</v>
      </c>
      <c r="E2058" t="str">
        <f t="shared" si="32"/>
        <v>1210-115600-44767</v>
      </c>
    </row>
    <row r="2059" spans="1:5" ht="14.25" customHeight="1">
      <c r="A2059" s="5">
        <v>1210</v>
      </c>
      <c r="B2059" s="5">
        <v>115600</v>
      </c>
      <c r="C2059" s="17">
        <v>44774</v>
      </c>
      <c r="D2059" s="5">
        <v>3</v>
      </c>
      <c r="E2059" t="str">
        <f t="shared" si="32"/>
        <v>1210-115600-44774</v>
      </c>
    </row>
    <row r="2060" spans="1:5" ht="14.25" customHeight="1">
      <c r="A2060" s="5">
        <v>1210</v>
      </c>
      <c r="B2060" s="5">
        <v>115600</v>
      </c>
      <c r="C2060" s="17">
        <v>44781</v>
      </c>
      <c r="D2060" s="5">
        <v>3</v>
      </c>
      <c r="E2060" t="str">
        <f t="shared" si="32"/>
        <v>1210-115600-44781</v>
      </c>
    </row>
    <row r="2061" spans="1:5" ht="14.25" customHeight="1">
      <c r="A2061" s="5">
        <v>1210</v>
      </c>
      <c r="B2061" s="5">
        <v>115600</v>
      </c>
      <c r="C2061" s="17">
        <v>44788</v>
      </c>
      <c r="D2061" s="5">
        <v>3</v>
      </c>
      <c r="E2061" t="str">
        <f t="shared" si="32"/>
        <v>1210-115600-44788</v>
      </c>
    </row>
    <row r="2062" spans="1:5" ht="14.25" customHeight="1">
      <c r="A2062" s="5">
        <v>1210</v>
      </c>
      <c r="B2062" s="5">
        <v>129208</v>
      </c>
      <c r="C2062" s="17">
        <v>44739</v>
      </c>
      <c r="D2062" s="5">
        <v>22</v>
      </c>
      <c r="E2062" t="str">
        <f t="shared" si="32"/>
        <v>1210-129208-44739</v>
      </c>
    </row>
    <row r="2063" spans="1:5" ht="14.25" customHeight="1">
      <c r="A2063" s="5">
        <v>1210</v>
      </c>
      <c r="B2063" s="5">
        <v>129208</v>
      </c>
      <c r="C2063" s="17">
        <v>44746</v>
      </c>
      <c r="D2063" s="5">
        <v>24</v>
      </c>
      <c r="E2063" t="str">
        <f t="shared" si="32"/>
        <v>1210-129208-44746</v>
      </c>
    </row>
    <row r="2064" spans="1:5" ht="14.25" customHeight="1">
      <c r="A2064" s="5">
        <v>1210</v>
      </c>
      <c r="B2064" s="5">
        <v>129208</v>
      </c>
      <c r="C2064" s="17">
        <v>44753</v>
      </c>
      <c r="D2064" s="5">
        <v>12</v>
      </c>
      <c r="E2064" t="str">
        <f t="shared" si="32"/>
        <v>1210-129208-44753</v>
      </c>
    </row>
    <row r="2065" spans="1:5" ht="14.25" customHeight="1">
      <c r="A2065" s="5">
        <v>1210</v>
      </c>
      <c r="B2065" s="5">
        <v>129208</v>
      </c>
      <c r="C2065" s="17">
        <v>44760</v>
      </c>
      <c r="D2065" s="5">
        <v>16</v>
      </c>
      <c r="E2065" t="str">
        <f t="shared" si="32"/>
        <v>1210-129208-44760</v>
      </c>
    </row>
    <row r="2066" spans="1:5" ht="14.25" customHeight="1">
      <c r="A2066" s="5">
        <v>1210</v>
      </c>
      <c r="B2066" s="5">
        <v>129208</v>
      </c>
      <c r="C2066" s="17">
        <v>44767</v>
      </c>
      <c r="D2066" s="5">
        <v>14</v>
      </c>
      <c r="E2066" t="str">
        <f t="shared" si="32"/>
        <v>1210-129208-44767</v>
      </c>
    </row>
    <row r="2067" spans="1:5" ht="14.25" customHeight="1">
      <c r="A2067" s="5">
        <v>1210</v>
      </c>
      <c r="B2067" s="5">
        <v>129208</v>
      </c>
      <c r="C2067" s="17">
        <v>44774</v>
      </c>
      <c r="D2067" s="5">
        <v>16</v>
      </c>
      <c r="E2067" t="str">
        <f t="shared" si="32"/>
        <v>1210-129208-44774</v>
      </c>
    </row>
    <row r="2068" spans="1:5" ht="14.25" customHeight="1">
      <c r="A2068" s="5">
        <v>1210</v>
      </c>
      <c r="B2068" s="5">
        <v>129208</v>
      </c>
      <c r="C2068" s="17">
        <v>44781</v>
      </c>
      <c r="D2068" s="5">
        <v>-1</v>
      </c>
      <c r="E2068" t="str">
        <f t="shared" si="32"/>
        <v>1210-129208-44781</v>
      </c>
    </row>
    <row r="2069" spans="1:5" ht="14.25" customHeight="1">
      <c r="A2069" s="5">
        <v>1210</v>
      </c>
      <c r="B2069" s="5">
        <v>129208</v>
      </c>
      <c r="C2069" s="17">
        <v>44788</v>
      </c>
      <c r="D2069" s="5">
        <v>20</v>
      </c>
      <c r="E2069" t="str">
        <f t="shared" si="32"/>
        <v>1210-129208-44788</v>
      </c>
    </row>
    <row r="2070" spans="1:5" ht="14.25" customHeight="1">
      <c r="A2070" s="5">
        <v>1210</v>
      </c>
      <c r="B2070" s="5">
        <v>141622</v>
      </c>
      <c r="C2070" s="17">
        <v>44739</v>
      </c>
      <c r="D2070" s="5">
        <v>43</v>
      </c>
      <c r="E2070" t="str">
        <f t="shared" si="32"/>
        <v>1210-141622-44739</v>
      </c>
    </row>
    <row r="2071" spans="1:5" ht="14.25" customHeight="1">
      <c r="A2071" s="5">
        <v>1210</v>
      </c>
      <c r="B2071" s="5">
        <v>141622</v>
      </c>
      <c r="C2071" s="17">
        <v>44746</v>
      </c>
      <c r="D2071" s="5">
        <v>35</v>
      </c>
      <c r="E2071" t="str">
        <f t="shared" si="32"/>
        <v>1210-141622-44746</v>
      </c>
    </row>
    <row r="2072" spans="1:5" ht="14.25" customHeight="1">
      <c r="A2072" s="5">
        <v>1210</v>
      </c>
      <c r="B2072" s="5">
        <v>141622</v>
      </c>
      <c r="C2072" s="17">
        <v>44753</v>
      </c>
      <c r="D2072" s="5">
        <v>39</v>
      </c>
      <c r="E2072" t="str">
        <f t="shared" si="32"/>
        <v>1210-141622-44753</v>
      </c>
    </row>
    <row r="2073" spans="1:5" ht="14.25" customHeight="1">
      <c r="A2073" s="5">
        <v>1210</v>
      </c>
      <c r="B2073" s="5">
        <v>141622</v>
      </c>
      <c r="C2073" s="17">
        <v>44760</v>
      </c>
      <c r="D2073" s="5">
        <v>15</v>
      </c>
      <c r="E2073" t="str">
        <f t="shared" si="32"/>
        <v>1210-141622-44760</v>
      </c>
    </row>
    <row r="2074" spans="1:5" ht="14.25" customHeight="1">
      <c r="A2074" s="5">
        <v>1210</v>
      </c>
      <c r="B2074" s="5">
        <v>141622</v>
      </c>
      <c r="C2074" s="17">
        <v>44767</v>
      </c>
      <c r="D2074" s="5">
        <v>15</v>
      </c>
      <c r="E2074" t="str">
        <f t="shared" si="32"/>
        <v>1210-141622-44767</v>
      </c>
    </row>
    <row r="2075" spans="1:5" ht="14.25" customHeight="1">
      <c r="A2075" s="5">
        <v>1210</v>
      </c>
      <c r="B2075" s="5">
        <v>141622</v>
      </c>
      <c r="C2075" s="17">
        <v>44774</v>
      </c>
      <c r="D2075" s="5">
        <v>39</v>
      </c>
      <c r="E2075" t="str">
        <f t="shared" si="32"/>
        <v>1210-141622-44774</v>
      </c>
    </row>
    <row r="2076" spans="1:5" ht="14.25" customHeight="1">
      <c r="A2076" s="5">
        <v>1210</v>
      </c>
      <c r="B2076" s="5">
        <v>141622</v>
      </c>
      <c r="C2076" s="17">
        <v>44781</v>
      </c>
      <c r="D2076" s="5">
        <v>8</v>
      </c>
      <c r="E2076" t="str">
        <f t="shared" si="32"/>
        <v>1210-141622-44781</v>
      </c>
    </row>
    <row r="2077" spans="1:5" ht="14.25" customHeight="1">
      <c r="A2077" s="5">
        <v>1210</v>
      </c>
      <c r="B2077" s="5">
        <v>141622</v>
      </c>
      <c r="C2077" s="17">
        <v>44788</v>
      </c>
      <c r="D2077" s="5">
        <v>39</v>
      </c>
      <c r="E2077" t="str">
        <f t="shared" si="32"/>
        <v>1210-141622-44788</v>
      </c>
    </row>
    <row r="2078" spans="1:5" ht="14.25" customHeight="1">
      <c r="A2078" s="5">
        <v>1210</v>
      </c>
      <c r="B2078" s="5">
        <v>141626</v>
      </c>
      <c r="C2078" s="17">
        <v>44739</v>
      </c>
      <c r="D2078" s="5">
        <v>238</v>
      </c>
      <c r="E2078" t="str">
        <f t="shared" si="32"/>
        <v>1210-141626-44739</v>
      </c>
    </row>
    <row r="2079" spans="1:5" ht="14.25" customHeight="1">
      <c r="A2079" s="5">
        <v>1210</v>
      </c>
      <c r="B2079" s="5">
        <v>141626</v>
      </c>
      <c r="C2079" s="17">
        <v>44746</v>
      </c>
      <c r="D2079" s="5">
        <v>148</v>
      </c>
      <c r="E2079" t="str">
        <f t="shared" si="32"/>
        <v>1210-141626-44746</v>
      </c>
    </row>
    <row r="2080" spans="1:5" ht="14.25" customHeight="1">
      <c r="A2080" s="5">
        <v>1210</v>
      </c>
      <c r="B2080" s="5">
        <v>141626</v>
      </c>
      <c r="C2080" s="17">
        <v>44753</v>
      </c>
      <c r="D2080" s="5">
        <v>351</v>
      </c>
      <c r="E2080" t="str">
        <f t="shared" si="32"/>
        <v>1210-141626-44753</v>
      </c>
    </row>
    <row r="2081" spans="1:5" ht="14.25" customHeight="1">
      <c r="A2081" s="5">
        <v>1210</v>
      </c>
      <c r="B2081" s="5">
        <v>141626</v>
      </c>
      <c r="C2081" s="17">
        <v>44760</v>
      </c>
      <c r="D2081" s="5">
        <v>242</v>
      </c>
      <c r="E2081" t="str">
        <f t="shared" si="32"/>
        <v>1210-141626-44760</v>
      </c>
    </row>
    <row r="2082" spans="1:5" ht="14.25" customHeight="1">
      <c r="A2082" s="5">
        <v>1210</v>
      </c>
      <c r="B2082" s="5">
        <v>141626</v>
      </c>
      <c r="C2082" s="17">
        <v>44767</v>
      </c>
      <c r="D2082" s="5">
        <v>489</v>
      </c>
      <c r="E2082" t="str">
        <f t="shared" si="32"/>
        <v>1210-141626-44767</v>
      </c>
    </row>
    <row r="2083" spans="1:5" ht="14.25" customHeight="1">
      <c r="A2083" s="5">
        <v>1210</v>
      </c>
      <c r="B2083" s="5">
        <v>141626</v>
      </c>
      <c r="C2083" s="17">
        <v>44774</v>
      </c>
      <c r="D2083" s="5">
        <v>514</v>
      </c>
      <c r="E2083" t="str">
        <f t="shared" si="32"/>
        <v>1210-141626-44774</v>
      </c>
    </row>
    <row r="2084" spans="1:5" ht="14.25" customHeight="1">
      <c r="A2084" s="5">
        <v>1210</v>
      </c>
      <c r="B2084" s="5">
        <v>141626</v>
      </c>
      <c r="C2084" s="17">
        <v>44781</v>
      </c>
      <c r="D2084" s="5">
        <v>391</v>
      </c>
      <c r="E2084" t="str">
        <f t="shared" si="32"/>
        <v>1210-141626-44781</v>
      </c>
    </row>
    <row r="2085" spans="1:5" ht="14.25" customHeight="1">
      <c r="A2085" s="5">
        <v>1210</v>
      </c>
      <c r="B2085" s="5">
        <v>141626</v>
      </c>
      <c r="C2085" s="17">
        <v>44788</v>
      </c>
      <c r="D2085" s="5">
        <v>366</v>
      </c>
      <c r="E2085" t="str">
        <f t="shared" si="32"/>
        <v>1210-141626-44788</v>
      </c>
    </row>
    <row r="2086" spans="1:5" ht="14.25" customHeight="1">
      <c r="A2086" s="5">
        <v>1210</v>
      </c>
      <c r="B2086" s="5">
        <v>141791</v>
      </c>
      <c r="C2086" s="17">
        <v>44739</v>
      </c>
      <c r="D2086" s="5">
        <v>71</v>
      </c>
      <c r="E2086" t="str">
        <f t="shared" si="32"/>
        <v>1210-141791-44739</v>
      </c>
    </row>
    <row r="2087" spans="1:5" ht="14.25" customHeight="1">
      <c r="A2087" s="5">
        <v>1210</v>
      </c>
      <c r="B2087" s="5">
        <v>141791</v>
      </c>
      <c r="C2087" s="17">
        <v>44746</v>
      </c>
      <c r="D2087" s="5">
        <v>76</v>
      </c>
      <c r="E2087" t="str">
        <f t="shared" si="32"/>
        <v>1210-141791-44746</v>
      </c>
    </row>
    <row r="2088" spans="1:5" ht="14.25" customHeight="1">
      <c r="A2088" s="5">
        <v>1210</v>
      </c>
      <c r="B2088" s="5">
        <v>141791</v>
      </c>
      <c r="C2088" s="17">
        <v>44753</v>
      </c>
      <c r="D2088" s="5">
        <v>80</v>
      </c>
      <c r="E2088" t="str">
        <f t="shared" si="32"/>
        <v>1210-141791-44753</v>
      </c>
    </row>
    <row r="2089" spans="1:5" ht="14.25" customHeight="1">
      <c r="A2089" s="5">
        <v>1210</v>
      </c>
      <c r="B2089" s="5">
        <v>141791</v>
      </c>
      <c r="C2089" s="17">
        <v>44760</v>
      </c>
      <c r="D2089" s="5">
        <v>28</v>
      </c>
      <c r="E2089" t="str">
        <f t="shared" si="32"/>
        <v>1210-141791-44760</v>
      </c>
    </row>
    <row r="2090" spans="1:5" ht="14.25" customHeight="1">
      <c r="A2090" s="5">
        <v>1210</v>
      </c>
      <c r="B2090" s="5">
        <v>141791</v>
      </c>
      <c r="C2090" s="17">
        <v>44767</v>
      </c>
      <c r="D2090" s="5">
        <v>27</v>
      </c>
      <c r="E2090" t="str">
        <f t="shared" si="32"/>
        <v>1210-141791-44767</v>
      </c>
    </row>
    <row r="2091" spans="1:5" ht="14.25" customHeight="1">
      <c r="A2091" s="5">
        <v>1210</v>
      </c>
      <c r="B2091" s="5">
        <v>141791</v>
      </c>
      <c r="C2091" s="17">
        <v>44774</v>
      </c>
      <c r="D2091" s="5">
        <v>73</v>
      </c>
      <c r="E2091" t="str">
        <f t="shared" si="32"/>
        <v>1210-141791-44774</v>
      </c>
    </row>
    <row r="2092" spans="1:5" ht="14.25" customHeight="1">
      <c r="A2092" s="5">
        <v>1210</v>
      </c>
      <c r="B2092" s="5">
        <v>141791</v>
      </c>
      <c r="C2092" s="17">
        <v>44781</v>
      </c>
      <c r="D2092" s="5">
        <v>42</v>
      </c>
      <c r="E2092" t="str">
        <f t="shared" si="32"/>
        <v>1210-141791-44781</v>
      </c>
    </row>
    <row r="2093" spans="1:5" ht="14.25" customHeight="1">
      <c r="A2093" s="5">
        <v>1210</v>
      </c>
      <c r="B2093" s="5">
        <v>141791</v>
      </c>
      <c r="C2093" s="17">
        <v>44788</v>
      </c>
      <c r="D2093" s="5">
        <v>93</v>
      </c>
      <c r="E2093" t="str">
        <f t="shared" si="32"/>
        <v>1210-141791-44788</v>
      </c>
    </row>
    <row r="2094" spans="1:5" ht="14.25" customHeight="1">
      <c r="A2094" s="5">
        <v>1210</v>
      </c>
      <c r="B2094" s="5">
        <v>141846</v>
      </c>
      <c r="C2094" s="17">
        <v>44739</v>
      </c>
      <c r="D2094" s="5">
        <v>2</v>
      </c>
      <c r="E2094" t="str">
        <f t="shared" si="32"/>
        <v>1210-141846-44739</v>
      </c>
    </row>
    <row r="2095" spans="1:5" ht="14.25" customHeight="1">
      <c r="A2095" s="5">
        <v>1210</v>
      </c>
      <c r="B2095" s="5">
        <v>141846</v>
      </c>
      <c r="C2095" s="17">
        <v>44746</v>
      </c>
      <c r="D2095" s="5">
        <v>18</v>
      </c>
      <c r="E2095" t="str">
        <f t="shared" si="32"/>
        <v>1210-141846-44746</v>
      </c>
    </row>
    <row r="2096" spans="1:5" ht="14.25" customHeight="1">
      <c r="A2096" s="5">
        <v>1210</v>
      </c>
      <c r="B2096" s="5">
        <v>141846</v>
      </c>
      <c r="C2096" s="17">
        <v>44753</v>
      </c>
      <c r="D2096" s="5">
        <v>26</v>
      </c>
      <c r="E2096" t="str">
        <f t="shared" si="32"/>
        <v>1210-141846-44753</v>
      </c>
    </row>
    <row r="2097" spans="1:5" ht="14.25" customHeight="1">
      <c r="A2097" s="5">
        <v>1210</v>
      </c>
      <c r="B2097" s="5">
        <v>141846</v>
      </c>
      <c r="C2097" s="17">
        <v>44760</v>
      </c>
      <c r="D2097" s="5">
        <v>12</v>
      </c>
      <c r="E2097" t="str">
        <f t="shared" si="32"/>
        <v>1210-141846-44760</v>
      </c>
    </row>
    <row r="2098" spans="1:5" ht="14.25" customHeight="1">
      <c r="A2098" s="5">
        <v>1210</v>
      </c>
      <c r="B2098" s="5">
        <v>141846</v>
      </c>
      <c r="C2098" s="17">
        <v>44767</v>
      </c>
      <c r="D2098" s="5">
        <v>9</v>
      </c>
      <c r="E2098" t="str">
        <f t="shared" si="32"/>
        <v>1210-141846-44767</v>
      </c>
    </row>
    <row r="2099" spans="1:5" ht="14.25" customHeight="1">
      <c r="A2099" s="5">
        <v>1210</v>
      </c>
      <c r="B2099" s="5">
        <v>141846</v>
      </c>
      <c r="C2099" s="17">
        <v>44774</v>
      </c>
      <c r="D2099" s="5">
        <v>21</v>
      </c>
      <c r="E2099" t="str">
        <f t="shared" si="32"/>
        <v>1210-141846-44774</v>
      </c>
    </row>
    <row r="2100" spans="1:5" ht="14.25" customHeight="1">
      <c r="A2100" s="5">
        <v>1210</v>
      </c>
      <c r="B2100" s="5">
        <v>141846</v>
      </c>
      <c r="C2100" s="17">
        <v>44781</v>
      </c>
      <c r="D2100" s="5">
        <v>25</v>
      </c>
      <c r="E2100" t="str">
        <f t="shared" si="32"/>
        <v>1210-141846-44781</v>
      </c>
    </row>
    <row r="2101" spans="1:5" ht="14.25" customHeight="1">
      <c r="A2101" s="5">
        <v>1210</v>
      </c>
      <c r="B2101" s="5">
        <v>141846</v>
      </c>
      <c r="C2101" s="17">
        <v>44788</v>
      </c>
      <c r="D2101" s="5">
        <v>27</v>
      </c>
      <c r="E2101" t="str">
        <f t="shared" si="32"/>
        <v>1210-141846-44788</v>
      </c>
    </row>
    <row r="2102" spans="1:5" ht="14.25" customHeight="1">
      <c r="A2102" s="5">
        <v>1210</v>
      </c>
      <c r="B2102" s="5">
        <v>141967</v>
      </c>
      <c r="C2102" s="17">
        <v>44739</v>
      </c>
      <c r="D2102" s="5">
        <v>68</v>
      </c>
      <c r="E2102" t="str">
        <f t="shared" si="32"/>
        <v>1210-141967-44739</v>
      </c>
    </row>
    <row r="2103" spans="1:5" ht="14.25" customHeight="1">
      <c r="A2103" s="5">
        <v>1210</v>
      </c>
      <c r="B2103" s="5">
        <v>141967</v>
      </c>
      <c r="C2103" s="17">
        <v>44746</v>
      </c>
      <c r="D2103" s="5">
        <v>56</v>
      </c>
      <c r="E2103" t="str">
        <f t="shared" si="32"/>
        <v>1210-141967-44746</v>
      </c>
    </row>
    <row r="2104" spans="1:5" ht="14.25" customHeight="1">
      <c r="A2104" s="5">
        <v>1210</v>
      </c>
      <c r="B2104" s="5">
        <v>141967</v>
      </c>
      <c r="C2104" s="17">
        <v>44753</v>
      </c>
      <c r="D2104" s="5">
        <v>42</v>
      </c>
      <c r="E2104" t="str">
        <f t="shared" si="32"/>
        <v>1210-141967-44753</v>
      </c>
    </row>
    <row r="2105" spans="1:5" ht="14.25" customHeight="1">
      <c r="A2105" s="5">
        <v>1210</v>
      </c>
      <c r="B2105" s="5">
        <v>141967</v>
      </c>
      <c r="C2105" s="17">
        <v>44760</v>
      </c>
      <c r="D2105" s="5">
        <v>13</v>
      </c>
      <c r="E2105" t="str">
        <f t="shared" si="32"/>
        <v>1210-141967-44760</v>
      </c>
    </row>
    <row r="2106" spans="1:5" ht="14.25" customHeight="1">
      <c r="A2106" s="5">
        <v>1210</v>
      </c>
      <c r="B2106" s="5">
        <v>141967</v>
      </c>
      <c r="C2106" s="17">
        <v>44767</v>
      </c>
      <c r="D2106" s="5">
        <v>54</v>
      </c>
      <c r="E2106" t="str">
        <f t="shared" si="32"/>
        <v>1210-141967-44767</v>
      </c>
    </row>
    <row r="2107" spans="1:5" ht="14.25" customHeight="1">
      <c r="A2107" s="5">
        <v>1210</v>
      </c>
      <c r="B2107" s="5">
        <v>141967</v>
      </c>
      <c r="C2107" s="17">
        <v>44774</v>
      </c>
      <c r="D2107" s="5">
        <v>70</v>
      </c>
      <c r="E2107" t="str">
        <f t="shared" si="32"/>
        <v>1210-141967-44774</v>
      </c>
    </row>
    <row r="2108" spans="1:5" ht="14.25" customHeight="1">
      <c r="A2108" s="5">
        <v>1210</v>
      </c>
      <c r="B2108" s="5">
        <v>141967</v>
      </c>
      <c r="C2108" s="17">
        <v>44781</v>
      </c>
      <c r="D2108" s="5">
        <v>68</v>
      </c>
      <c r="E2108" t="str">
        <f t="shared" si="32"/>
        <v>1210-141967-44781</v>
      </c>
    </row>
    <row r="2109" spans="1:5" ht="14.25" customHeight="1">
      <c r="A2109" s="5">
        <v>1210</v>
      </c>
      <c r="B2109" s="5">
        <v>141967</v>
      </c>
      <c r="C2109" s="17">
        <v>44788</v>
      </c>
      <c r="D2109" s="5">
        <v>44</v>
      </c>
      <c r="E2109" t="str">
        <f t="shared" si="32"/>
        <v>1210-141967-44788</v>
      </c>
    </row>
    <row r="2110" spans="1:5" ht="14.25" customHeight="1">
      <c r="A2110" s="5">
        <v>1210</v>
      </c>
      <c r="B2110" s="5">
        <v>142194</v>
      </c>
      <c r="C2110" s="17">
        <v>44739</v>
      </c>
      <c r="D2110" s="5">
        <v>27</v>
      </c>
      <c r="E2110" t="str">
        <f t="shared" si="32"/>
        <v>1210-142194-44739</v>
      </c>
    </row>
    <row r="2111" spans="1:5" ht="14.25" customHeight="1">
      <c r="A2111" s="5">
        <v>1210</v>
      </c>
      <c r="B2111" s="5">
        <v>142194</v>
      </c>
      <c r="C2111" s="17">
        <v>44746</v>
      </c>
      <c r="D2111" s="5">
        <v>21</v>
      </c>
      <c r="E2111" t="str">
        <f t="shared" si="32"/>
        <v>1210-142194-44746</v>
      </c>
    </row>
    <row r="2112" spans="1:5" ht="14.25" customHeight="1">
      <c r="A2112" s="5">
        <v>1210</v>
      </c>
      <c r="B2112" s="5">
        <v>142194</v>
      </c>
      <c r="C2112" s="17">
        <v>44753</v>
      </c>
      <c r="D2112" s="5">
        <v>10</v>
      </c>
      <c r="E2112" t="str">
        <f t="shared" si="32"/>
        <v>1210-142194-44753</v>
      </c>
    </row>
    <row r="2113" spans="1:5" ht="14.25" customHeight="1">
      <c r="A2113" s="5">
        <v>1210</v>
      </c>
      <c r="B2113" s="5">
        <v>142194</v>
      </c>
      <c r="C2113" s="17">
        <v>44760</v>
      </c>
      <c r="D2113" s="5">
        <v>5</v>
      </c>
      <c r="E2113" t="str">
        <f t="shared" si="32"/>
        <v>1210-142194-44760</v>
      </c>
    </row>
    <row r="2114" spans="1:5" ht="14.25" customHeight="1">
      <c r="A2114" s="5">
        <v>1210</v>
      </c>
      <c r="B2114" s="5">
        <v>142194</v>
      </c>
      <c r="C2114" s="17">
        <v>44767</v>
      </c>
      <c r="D2114" s="5">
        <v>34</v>
      </c>
      <c r="E2114" t="str">
        <f t="shared" si="32"/>
        <v>1210-142194-44767</v>
      </c>
    </row>
    <row r="2115" spans="1:5" ht="14.25" customHeight="1">
      <c r="A2115" s="5">
        <v>1210</v>
      </c>
      <c r="B2115" s="5">
        <v>142194</v>
      </c>
      <c r="C2115" s="17">
        <v>44774</v>
      </c>
      <c r="D2115" s="5">
        <v>26</v>
      </c>
      <c r="E2115" t="str">
        <f t="shared" ref="E2115:E2178" si="33">A2115&amp;"-"&amp;B2115&amp;"-"&amp;INT(C2115)</f>
        <v>1210-142194-44774</v>
      </c>
    </row>
    <row r="2116" spans="1:5" ht="14.25" customHeight="1">
      <c r="A2116" s="5">
        <v>1210</v>
      </c>
      <c r="B2116" s="5">
        <v>142194</v>
      </c>
      <c r="C2116" s="17">
        <v>44781</v>
      </c>
      <c r="D2116" s="5">
        <v>15</v>
      </c>
      <c r="E2116" t="str">
        <f t="shared" si="33"/>
        <v>1210-142194-44781</v>
      </c>
    </row>
    <row r="2117" spans="1:5" ht="14.25" customHeight="1">
      <c r="A2117" s="5">
        <v>1210</v>
      </c>
      <c r="B2117" s="5">
        <v>142194</v>
      </c>
      <c r="C2117" s="17">
        <v>44788</v>
      </c>
      <c r="D2117" s="5">
        <v>32</v>
      </c>
      <c r="E2117" t="str">
        <f t="shared" si="33"/>
        <v>1210-142194-44788</v>
      </c>
    </row>
    <row r="2118" spans="1:5" ht="14.25" customHeight="1">
      <c r="A2118" s="5">
        <v>1210</v>
      </c>
      <c r="B2118" s="5">
        <v>149729</v>
      </c>
      <c r="C2118" s="17">
        <v>44739</v>
      </c>
      <c r="D2118" s="5">
        <v>20</v>
      </c>
      <c r="E2118" t="str">
        <f t="shared" si="33"/>
        <v>1210-149729-44739</v>
      </c>
    </row>
    <row r="2119" spans="1:5" ht="14.25" customHeight="1">
      <c r="A2119" s="5">
        <v>1210</v>
      </c>
      <c r="B2119" s="5">
        <v>149729</v>
      </c>
      <c r="C2119" s="17">
        <v>44746</v>
      </c>
      <c r="D2119" s="5">
        <v>29</v>
      </c>
      <c r="E2119" t="str">
        <f t="shared" si="33"/>
        <v>1210-149729-44746</v>
      </c>
    </row>
    <row r="2120" spans="1:5" ht="14.25" customHeight="1">
      <c r="A2120" s="5">
        <v>1210</v>
      </c>
      <c r="B2120" s="5">
        <v>149729</v>
      </c>
      <c r="C2120" s="17">
        <v>44753</v>
      </c>
      <c r="D2120" s="5">
        <v>27</v>
      </c>
      <c r="E2120" t="str">
        <f t="shared" si="33"/>
        <v>1210-149729-44753</v>
      </c>
    </row>
    <row r="2121" spans="1:5" ht="14.25" customHeight="1">
      <c r="A2121" s="5">
        <v>1210</v>
      </c>
      <c r="B2121" s="5">
        <v>149729</v>
      </c>
      <c r="C2121" s="17">
        <v>44760</v>
      </c>
      <c r="D2121" s="5">
        <v>18</v>
      </c>
      <c r="E2121" t="str">
        <f t="shared" si="33"/>
        <v>1210-149729-44760</v>
      </c>
    </row>
    <row r="2122" spans="1:5" ht="14.25" customHeight="1">
      <c r="A2122" s="5">
        <v>1210</v>
      </c>
      <c r="B2122" s="5">
        <v>149729</v>
      </c>
      <c r="C2122" s="17">
        <v>44767</v>
      </c>
      <c r="D2122" s="5">
        <v>18</v>
      </c>
      <c r="E2122" t="str">
        <f t="shared" si="33"/>
        <v>1210-149729-44767</v>
      </c>
    </row>
    <row r="2123" spans="1:5" ht="14.25" customHeight="1">
      <c r="A2123" s="5">
        <v>1210</v>
      </c>
      <c r="B2123" s="5">
        <v>149729</v>
      </c>
      <c r="C2123" s="17">
        <v>44774</v>
      </c>
      <c r="D2123" s="5">
        <v>23</v>
      </c>
      <c r="E2123" t="str">
        <f t="shared" si="33"/>
        <v>1210-149729-44774</v>
      </c>
    </row>
    <row r="2124" spans="1:5" ht="14.25" customHeight="1">
      <c r="A2124" s="5">
        <v>1210</v>
      </c>
      <c r="B2124" s="5">
        <v>149729</v>
      </c>
      <c r="C2124" s="17">
        <v>44781</v>
      </c>
      <c r="D2124" s="5">
        <v>25</v>
      </c>
      <c r="E2124" t="str">
        <f t="shared" si="33"/>
        <v>1210-149729-44781</v>
      </c>
    </row>
    <row r="2125" spans="1:5" ht="14.25" customHeight="1">
      <c r="A2125" s="5">
        <v>1210</v>
      </c>
      <c r="B2125" s="5">
        <v>149729</v>
      </c>
      <c r="C2125" s="17">
        <v>44788</v>
      </c>
      <c r="D2125" s="5">
        <v>6</v>
      </c>
      <c r="E2125" t="str">
        <f t="shared" si="33"/>
        <v>1210-149729-44788</v>
      </c>
    </row>
    <row r="2126" spans="1:5" ht="14.25" customHeight="1">
      <c r="A2126" s="5">
        <v>1210</v>
      </c>
      <c r="B2126" s="5">
        <v>149779</v>
      </c>
      <c r="C2126" s="17">
        <v>44739</v>
      </c>
      <c r="D2126" s="5">
        <v>45</v>
      </c>
      <c r="E2126" t="str">
        <f t="shared" si="33"/>
        <v>1210-149779-44739</v>
      </c>
    </row>
    <row r="2127" spans="1:5" ht="14.25" customHeight="1">
      <c r="A2127" s="5">
        <v>1210</v>
      </c>
      <c r="B2127" s="5">
        <v>149779</v>
      </c>
      <c r="C2127" s="17">
        <v>44746</v>
      </c>
      <c r="D2127" s="5">
        <v>33</v>
      </c>
      <c r="E2127" t="str">
        <f t="shared" si="33"/>
        <v>1210-149779-44746</v>
      </c>
    </row>
    <row r="2128" spans="1:5" ht="14.25" customHeight="1">
      <c r="A2128" s="5">
        <v>1210</v>
      </c>
      <c r="B2128" s="5">
        <v>149779</v>
      </c>
      <c r="C2128" s="17">
        <v>44753</v>
      </c>
      <c r="D2128" s="5">
        <v>57</v>
      </c>
      <c r="E2128" t="str">
        <f t="shared" si="33"/>
        <v>1210-149779-44753</v>
      </c>
    </row>
    <row r="2129" spans="1:5" ht="14.25" customHeight="1">
      <c r="A2129" s="5">
        <v>1210</v>
      </c>
      <c r="B2129" s="5">
        <v>149779</v>
      </c>
      <c r="C2129" s="17">
        <v>44760</v>
      </c>
      <c r="D2129" s="5">
        <v>45</v>
      </c>
      <c r="E2129" t="str">
        <f t="shared" si="33"/>
        <v>1210-149779-44760</v>
      </c>
    </row>
    <row r="2130" spans="1:5" ht="14.25" customHeight="1">
      <c r="A2130" s="5">
        <v>1210</v>
      </c>
      <c r="B2130" s="5">
        <v>149779</v>
      </c>
      <c r="C2130" s="17">
        <v>44767</v>
      </c>
      <c r="D2130" s="5">
        <v>42</v>
      </c>
      <c r="E2130" t="str">
        <f t="shared" si="33"/>
        <v>1210-149779-44767</v>
      </c>
    </row>
    <row r="2131" spans="1:5" ht="14.25" customHeight="1">
      <c r="A2131" s="5">
        <v>1210</v>
      </c>
      <c r="B2131" s="5">
        <v>149779</v>
      </c>
      <c r="C2131" s="17">
        <v>44774</v>
      </c>
      <c r="D2131" s="5">
        <v>42</v>
      </c>
      <c r="E2131" t="str">
        <f t="shared" si="33"/>
        <v>1210-149779-44774</v>
      </c>
    </row>
    <row r="2132" spans="1:5" ht="14.25" customHeight="1">
      <c r="A2132" s="5">
        <v>1210</v>
      </c>
      <c r="B2132" s="5">
        <v>149779</v>
      </c>
      <c r="C2132" s="17">
        <v>44781</v>
      </c>
      <c r="D2132" s="5">
        <v>56</v>
      </c>
      <c r="E2132" t="str">
        <f t="shared" si="33"/>
        <v>1210-149779-44781</v>
      </c>
    </row>
    <row r="2133" spans="1:5" ht="14.25" customHeight="1">
      <c r="A2133" s="5">
        <v>1210</v>
      </c>
      <c r="B2133" s="5">
        <v>149779</v>
      </c>
      <c r="C2133" s="17">
        <v>44788</v>
      </c>
      <c r="D2133" s="5">
        <v>19</v>
      </c>
      <c r="E2133" t="str">
        <f t="shared" si="33"/>
        <v>1210-149779-44788</v>
      </c>
    </row>
    <row r="2134" spans="1:5" ht="14.25" customHeight="1">
      <c r="A2134" s="5">
        <v>1210</v>
      </c>
      <c r="B2134" s="5">
        <v>189933</v>
      </c>
      <c r="C2134" s="17">
        <v>44739</v>
      </c>
      <c r="D2134" s="5">
        <v>53</v>
      </c>
      <c r="E2134" t="str">
        <f t="shared" si="33"/>
        <v>1210-189933-44739</v>
      </c>
    </row>
    <row r="2135" spans="1:5" ht="14.25" customHeight="1">
      <c r="A2135" s="5">
        <v>1210</v>
      </c>
      <c r="B2135" s="5">
        <v>189933</v>
      </c>
      <c r="C2135" s="17">
        <v>44746</v>
      </c>
      <c r="D2135" s="5">
        <v>33</v>
      </c>
      <c r="E2135" t="str">
        <f t="shared" si="33"/>
        <v>1210-189933-44746</v>
      </c>
    </row>
    <row r="2136" spans="1:5" ht="14.25" customHeight="1">
      <c r="A2136" s="5">
        <v>1210</v>
      </c>
      <c r="B2136" s="5">
        <v>189933</v>
      </c>
      <c r="C2136" s="17">
        <v>44753</v>
      </c>
      <c r="D2136" s="5">
        <v>24</v>
      </c>
      <c r="E2136" t="str">
        <f t="shared" si="33"/>
        <v>1210-189933-44753</v>
      </c>
    </row>
    <row r="2137" spans="1:5" ht="14.25" customHeight="1">
      <c r="A2137" s="5">
        <v>1210</v>
      </c>
      <c r="B2137" s="5">
        <v>189933</v>
      </c>
      <c r="C2137" s="17">
        <v>44760</v>
      </c>
      <c r="D2137" s="5">
        <v>63</v>
      </c>
      <c r="E2137" t="str">
        <f t="shared" si="33"/>
        <v>1210-189933-44760</v>
      </c>
    </row>
    <row r="2138" spans="1:5" ht="14.25" customHeight="1">
      <c r="A2138" s="5">
        <v>1210</v>
      </c>
      <c r="B2138" s="5">
        <v>189933</v>
      </c>
      <c r="C2138" s="17">
        <v>44767</v>
      </c>
      <c r="D2138" s="5">
        <v>48</v>
      </c>
      <c r="E2138" t="str">
        <f t="shared" si="33"/>
        <v>1210-189933-44767</v>
      </c>
    </row>
    <row r="2139" spans="1:5" ht="14.25" customHeight="1">
      <c r="A2139" s="5">
        <v>1210</v>
      </c>
      <c r="B2139" s="5">
        <v>189933</v>
      </c>
      <c r="C2139" s="17">
        <v>44774</v>
      </c>
      <c r="D2139" s="5">
        <v>70</v>
      </c>
      <c r="E2139" t="str">
        <f t="shared" si="33"/>
        <v>1210-189933-44774</v>
      </c>
    </row>
    <row r="2140" spans="1:5" ht="14.25" customHeight="1">
      <c r="A2140" s="5">
        <v>1210</v>
      </c>
      <c r="B2140" s="5">
        <v>189933</v>
      </c>
      <c r="C2140" s="17">
        <v>44781</v>
      </c>
      <c r="D2140" s="5">
        <v>54</v>
      </c>
      <c r="E2140" t="str">
        <f t="shared" si="33"/>
        <v>1210-189933-44781</v>
      </c>
    </row>
    <row r="2141" spans="1:5" ht="14.25" customHeight="1">
      <c r="A2141" s="5">
        <v>1210</v>
      </c>
      <c r="B2141" s="5">
        <v>189933</v>
      </c>
      <c r="C2141" s="17">
        <v>44788</v>
      </c>
      <c r="D2141" s="5">
        <v>72</v>
      </c>
      <c r="E2141" t="str">
        <f t="shared" si="33"/>
        <v>1210-189933-44788</v>
      </c>
    </row>
    <row r="2142" spans="1:5" ht="14.25" customHeight="1">
      <c r="A2142" s="5">
        <v>1210</v>
      </c>
      <c r="B2142" s="5">
        <v>202577</v>
      </c>
      <c r="C2142" s="17">
        <v>44739</v>
      </c>
      <c r="D2142" s="5">
        <v>34</v>
      </c>
      <c r="E2142" t="str">
        <f t="shared" si="33"/>
        <v>1210-202577-44739</v>
      </c>
    </row>
    <row r="2143" spans="1:5" ht="14.25" customHeight="1">
      <c r="A2143" s="5">
        <v>1210</v>
      </c>
      <c r="B2143" s="5">
        <v>202577</v>
      </c>
      <c r="C2143" s="17">
        <v>44746</v>
      </c>
      <c r="D2143" s="5">
        <v>40</v>
      </c>
      <c r="E2143" t="str">
        <f t="shared" si="33"/>
        <v>1210-202577-44746</v>
      </c>
    </row>
    <row r="2144" spans="1:5" ht="14.25" customHeight="1">
      <c r="A2144" s="5">
        <v>1210</v>
      </c>
      <c r="B2144" s="5">
        <v>202577</v>
      </c>
      <c r="C2144" s="17">
        <v>44753</v>
      </c>
      <c r="D2144" s="5">
        <v>40</v>
      </c>
      <c r="E2144" t="str">
        <f t="shared" si="33"/>
        <v>1210-202577-44753</v>
      </c>
    </row>
    <row r="2145" spans="1:5" ht="14.25" customHeight="1">
      <c r="A2145" s="5">
        <v>1210</v>
      </c>
      <c r="B2145" s="5">
        <v>202577</v>
      </c>
      <c r="C2145" s="17">
        <v>44760</v>
      </c>
      <c r="D2145" s="5">
        <v>42</v>
      </c>
      <c r="E2145" t="str">
        <f t="shared" si="33"/>
        <v>1210-202577-44760</v>
      </c>
    </row>
    <row r="2146" spans="1:5" ht="14.25" customHeight="1">
      <c r="A2146" s="5">
        <v>1210</v>
      </c>
      <c r="B2146" s="5">
        <v>202577</v>
      </c>
      <c r="C2146" s="17">
        <v>44767</v>
      </c>
      <c r="D2146" s="5">
        <v>34</v>
      </c>
      <c r="E2146" t="str">
        <f t="shared" si="33"/>
        <v>1210-202577-44767</v>
      </c>
    </row>
    <row r="2147" spans="1:5" ht="14.25" customHeight="1">
      <c r="A2147" s="5">
        <v>1210</v>
      </c>
      <c r="B2147" s="5">
        <v>202577</v>
      </c>
      <c r="C2147" s="17">
        <v>44774</v>
      </c>
      <c r="D2147" s="5">
        <v>36</v>
      </c>
      <c r="E2147" t="str">
        <f t="shared" si="33"/>
        <v>1210-202577-44774</v>
      </c>
    </row>
    <row r="2148" spans="1:5" ht="14.25" customHeight="1">
      <c r="A2148" s="5">
        <v>1210</v>
      </c>
      <c r="B2148" s="5">
        <v>202577</v>
      </c>
      <c r="C2148" s="17">
        <v>44781</v>
      </c>
      <c r="D2148" s="5">
        <v>30</v>
      </c>
      <c r="E2148" t="str">
        <f t="shared" si="33"/>
        <v>1210-202577-44781</v>
      </c>
    </row>
    <row r="2149" spans="1:5" ht="14.25" customHeight="1">
      <c r="A2149" s="5">
        <v>1210</v>
      </c>
      <c r="B2149" s="5">
        <v>202577</v>
      </c>
      <c r="C2149" s="17">
        <v>44788</v>
      </c>
      <c r="D2149" s="5">
        <v>17</v>
      </c>
      <c r="E2149" t="str">
        <f t="shared" si="33"/>
        <v>1210-202577-44788</v>
      </c>
    </row>
    <row r="2150" spans="1:5" ht="14.25" customHeight="1">
      <c r="A2150" s="5">
        <v>1210</v>
      </c>
      <c r="B2150" s="5">
        <v>234334</v>
      </c>
      <c r="C2150" s="17">
        <v>44739</v>
      </c>
      <c r="D2150" s="5">
        <v>31</v>
      </c>
      <c r="E2150" t="str">
        <f t="shared" si="33"/>
        <v>1210-234334-44739</v>
      </c>
    </row>
    <row r="2151" spans="1:5" ht="14.25" customHeight="1">
      <c r="A2151" s="5">
        <v>1210</v>
      </c>
      <c r="B2151" s="5">
        <v>234334</v>
      </c>
      <c r="C2151" s="17">
        <v>44746</v>
      </c>
      <c r="D2151" s="5">
        <v>8</v>
      </c>
      <c r="E2151" t="str">
        <f t="shared" si="33"/>
        <v>1210-234334-44746</v>
      </c>
    </row>
    <row r="2152" spans="1:5" ht="14.25" customHeight="1">
      <c r="A2152" s="5">
        <v>1210</v>
      </c>
      <c r="B2152" s="5">
        <v>234334</v>
      </c>
      <c r="C2152" s="17">
        <v>44753</v>
      </c>
      <c r="D2152" s="5">
        <v>40</v>
      </c>
      <c r="E2152" t="str">
        <f t="shared" si="33"/>
        <v>1210-234334-44753</v>
      </c>
    </row>
    <row r="2153" spans="1:5" ht="14.25" customHeight="1">
      <c r="A2153" s="5">
        <v>1210</v>
      </c>
      <c r="B2153" s="5">
        <v>234334</v>
      </c>
      <c r="C2153" s="17">
        <v>44760</v>
      </c>
      <c r="D2153" s="5">
        <v>40</v>
      </c>
      <c r="E2153" t="str">
        <f t="shared" si="33"/>
        <v>1210-234334-44760</v>
      </c>
    </row>
    <row r="2154" spans="1:5" ht="14.25" customHeight="1">
      <c r="A2154" s="5">
        <v>1210</v>
      </c>
      <c r="B2154" s="5">
        <v>234334</v>
      </c>
      <c r="C2154" s="17">
        <v>44767</v>
      </c>
      <c r="D2154" s="5">
        <v>8</v>
      </c>
      <c r="E2154" t="str">
        <f t="shared" si="33"/>
        <v>1210-234334-44767</v>
      </c>
    </row>
    <row r="2155" spans="1:5" ht="14.25" customHeight="1">
      <c r="A2155" s="5">
        <v>1210</v>
      </c>
      <c r="B2155" s="5">
        <v>234334</v>
      </c>
      <c r="C2155" s="17">
        <v>44774</v>
      </c>
      <c r="D2155" s="5">
        <v>6</v>
      </c>
      <c r="E2155" t="str">
        <f t="shared" si="33"/>
        <v>1210-234334-44774</v>
      </c>
    </row>
    <row r="2156" spans="1:5" ht="14.25" customHeight="1">
      <c r="A2156" s="5">
        <v>1210</v>
      </c>
      <c r="B2156" s="5">
        <v>234334</v>
      </c>
      <c r="C2156" s="17">
        <v>44781</v>
      </c>
      <c r="D2156" s="5">
        <v>33</v>
      </c>
      <c r="E2156" t="str">
        <f t="shared" si="33"/>
        <v>1210-234334-44781</v>
      </c>
    </row>
    <row r="2157" spans="1:5" ht="14.25" customHeight="1">
      <c r="A2157" s="5">
        <v>1210</v>
      </c>
      <c r="B2157" s="5">
        <v>234334</v>
      </c>
      <c r="C2157" s="17">
        <v>44788</v>
      </c>
      <c r="D2157" s="5">
        <v>26</v>
      </c>
      <c r="E2157" t="str">
        <f t="shared" si="33"/>
        <v>1210-234334-44788</v>
      </c>
    </row>
    <row r="2158" spans="1:5" ht="14.25" customHeight="1">
      <c r="A2158" s="5">
        <v>1210</v>
      </c>
      <c r="B2158" s="5">
        <v>249444</v>
      </c>
      <c r="C2158" s="17">
        <v>44739</v>
      </c>
      <c r="D2158" s="5">
        <v>63</v>
      </c>
      <c r="E2158" t="str">
        <f t="shared" si="33"/>
        <v>1210-249444-44739</v>
      </c>
    </row>
    <row r="2159" spans="1:5" ht="14.25" customHeight="1">
      <c r="A2159" s="5">
        <v>1210</v>
      </c>
      <c r="B2159" s="5">
        <v>249444</v>
      </c>
      <c r="C2159" s="17">
        <v>44746</v>
      </c>
      <c r="D2159" s="5">
        <v>224</v>
      </c>
      <c r="E2159" t="str">
        <f t="shared" si="33"/>
        <v>1210-249444-44746</v>
      </c>
    </row>
    <row r="2160" spans="1:5" ht="14.25" customHeight="1">
      <c r="A2160" s="5">
        <v>1210</v>
      </c>
      <c r="B2160" s="5">
        <v>249444</v>
      </c>
      <c r="C2160" s="17">
        <v>44753</v>
      </c>
      <c r="D2160" s="5">
        <v>260</v>
      </c>
      <c r="E2160" t="str">
        <f t="shared" si="33"/>
        <v>1210-249444-44753</v>
      </c>
    </row>
    <row r="2161" spans="1:5" ht="14.25" customHeight="1">
      <c r="A2161" s="5">
        <v>1210</v>
      </c>
      <c r="B2161" s="5">
        <v>249444</v>
      </c>
      <c r="C2161" s="17">
        <v>44760</v>
      </c>
      <c r="D2161" s="5">
        <v>60</v>
      </c>
      <c r="E2161" t="str">
        <f t="shared" si="33"/>
        <v>1210-249444-44760</v>
      </c>
    </row>
    <row r="2162" spans="1:5" ht="14.25" customHeight="1">
      <c r="A2162" s="5">
        <v>1210</v>
      </c>
      <c r="B2162" s="5">
        <v>249444</v>
      </c>
      <c r="C2162" s="17">
        <v>44767</v>
      </c>
      <c r="D2162" s="5">
        <v>121</v>
      </c>
      <c r="E2162" t="str">
        <f t="shared" si="33"/>
        <v>1210-249444-44767</v>
      </c>
    </row>
    <row r="2163" spans="1:5" ht="14.25" customHeight="1">
      <c r="A2163" s="5">
        <v>1210</v>
      </c>
      <c r="B2163" s="5">
        <v>249444</v>
      </c>
      <c r="C2163" s="17">
        <v>44774</v>
      </c>
      <c r="D2163" s="5">
        <v>260</v>
      </c>
      <c r="E2163" t="str">
        <f t="shared" si="33"/>
        <v>1210-249444-44774</v>
      </c>
    </row>
    <row r="2164" spans="1:5" ht="14.25" customHeight="1">
      <c r="A2164" s="5">
        <v>1210</v>
      </c>
      <c r="B2164" s="5">
        <v>249444</v>
      </c>
      <c r="C2164" s="17">
        <v>44781</v>
      </c>
      <c r="D2164" s="5">
        <v>190</v>
      </c>
      <c r="E2164" t="str">
        <f t="shared" si="33"/>
        <v>1210-249444-44781</v>
      </c>
    </row>
    <row r="2165" spans="1:5" ht="14.25" customHeight="1">
      <c r="A2165" s="5">
        <v>1210</v>
      </c>
      <c r="B2165" s="5">
        <v>249444</v>
      </c>
      <c r="C2165" s="17">
        <v>44788</v>
      </c>
      <c r="D2165" s="5">
        <v>244</v>
      </c>
      <c r="E2165" t="str">
        <f t="shared" si="33"/>
        <v>1210-249444-44788</v>
      </c>
    </row>
    <row r="2166" spans="1:5" ht="14.25" customHeight="1">
      <c r="A2166" s="5">
        <v>1210</v>
      </c>
      <c r="B2166" s="5">
        <v>249795</v>
      </c>
      <c r="C2166" s="17">
        <v>44739</v>
      </c>
      <c r="D2166" s="5">
        <v>8</v>
      </c>
      <c r="E2166" t="str">
        <f t="shared" si="33"/>
        <v>1210-249795-44739</v>
      </c>
    </row>
    <row r="2167" spans="1:5" ht="14.25" customHeight="1">
      <c r="A2167" s="5">
        <v>1210</v>
      </c>
      <c r="B2167" s="5">
        <v>249795</v>
      </c>
      <c r="C2167" s="17">
        <v>44746</v>
      </c>
      <c r="D2167" s="5">
        <v>34</v>
      </c>
      <c r="E2167" t="str">
        <f t="shared" si="33"/>
        <v>1210-249795-44746</v>
      </c>
    </row>
    <row r="2168" spans="1:5" ht="14.25" customHeight="1">
      <c r="A2168" s="5">
        <v>1210</v>
      </c>
      <c r="B2168" s="5">
        <v>249795</v>
      </c>
      <c r="C2168" s="17">
        <v>44753</v>
      </c>
      <c r="D2168" s="5">
        <v>36</v>
      </c>
      <c r="E2168" t="str">
        <f t="shared" si="33"/>
        <v>1210-249795-44753</v>
      </c>
    </row>
    <row r="2169" spans="1:5" ht="14.25" customHeight="1">
      <c r="A2169" s="5">
        <v>1210</v>
      </c>
      <c r="B2169" s="5">
        <v>249795</v>
      </c>
      <c r="C2169" s="17">
        <v>44760</v>
      </c>
      <c r="D2169" s="5">
        <v>41</v>
      </c>
      <c r="E2169" t="str">
        <f t="shared" si="33"/>
        <v>1210-249795-44760</v>
      </c>
    </row>
    <row r="2170" spans="1:5" ht="14.25" customHeight="1">
      <c r="A2170" s="5">
        <v>1210</v>
      </c>
      <c r="B2170" s="5">
        <v>249795</v>
      </c>
      <c r="C2170" s="17">
        <v>44767</v>
      </c>
      <c r="D2170" s="5">
        <v>10</v>
      </c>
      <c r="E2170" t="str">
        <f t="shared" si="33"/>
        <v>1210-249795-44767</v>
      </c>
    </row>
    <row r="2171" spans="1:5" ht="14.25" customHeight="1">
      <c r="A2171" s="5">
        <v>1210</v>
      </c>
      <c r="B2171" s="5">
        <v>249795</v>
      </c>
      <c r="C2171" s="17">
        <v>44774</v>
      </c>
      <c r="D2171" s="5">
        <v>37</v>
      </c>
      <c r="E2171" t="str">
        <f t="shared" si="33"/>
        <v>1210-249795-44774</v>
      </c>
    </row>
    <row r="2172" spans="1:5" ht="14.25" customHeight="1">
      <c r="A2172" s="5">
        <v>1210</v>
      </c>
      <c r="B2172" s="5">
        <v>249795</v>
      </c>
      <c r="C2172" s="17">
        <v>44781</v>
      </c>
      <c r="D2172" s="5">
        <v>4</v>
      </c>
      <c r="E2172" t="str">
        <f t="shared" si="33"/>
        <v>1210-249795-44781</v>
      </c>
    </row>
    <row r="2173" spans="1:5" ht="14.25" customHeight="1">
      <c r="A2173" s="5">
        <v>1210</v>
      </c>
      <c r="B2173" s="5">
        <v>249795</v>
      </c>
      <c r="C2173" s="17">
        <v>44788</v>
      </c>
      <c r="D2173" s="5">
        <v>5</v>
      </c>
      <c r="E2173" t="str">
        <f t="shared" si="33"/>
        <v>1210-249795-44788</v>
      </c>
    </row>
    <row r="2174" spans="1:5" ht="14.25" customHeight="1">
      <c r="A2174" s="5">
        <v>1210</v>
      </c>
      <c r="B2174" s="5">
        <v>250979</v>
      </c>
      <c r="C2174" s="17">
        <v>44739</v>
      </c>
      <c r="D2174" s="5">
        <v>23</v>
      </c>
      <c r="E2174" t="str">
        <f t="shared" si="33"/>
        <v>1210-250979-44739</v>
      </c>
    </row>
    <row r="2175" spans="1:5" ht="14.25" customHeight="1">
      <c r="A2175" s="5">
        <v>1210</v>
      </c>
      <c r="B2175" s="5">
        <v>250979</v>
      </c>
      <c r="C2175" s="17">
        <v>44746</v>
      </c>
      <c r="D2175" s="5">
        <v>23</v>
      </c>
      <c r="E2175" t="str">
        <f t="shared" si="33"/>
        <v>1210-250979-44746</v>
      </c>
    </row>
    <row r="2176" spans="1:5" ht="14.25" customHeight="1">
      <c r="A2176" s="5">
        <v>1210</v>
      </c>
      <c r="B2176" s="5">
        <v>250979</v>
      </c>
      <c r="C2176" s="17">
        <v>44753</v>
      </c>
      <c r="D2176" s="5">
        <v>23</v>
      </c>
      <c r="E2176" t="str">
        <f t="shared" si="33"/>
        <v>1210-250979-44753</v>
      </c>
    </row>
    <row r="2177" spans="1:5" ht="14.25" customHeight="1">
      <c r="A2177" s="5">
        <v>1210</v>
      </c>
      <c r="B2177" s="5">
        <v>250979</v>
      </c>
      <c r="C2177" s="17">
        <v>44760</v>
      </c>
      <c r="D2177" s="5">
        <v>23</v>
      </c>
      <c r="E2177" t="str">
        <f t="shared" si="33"/>
        <v>1210-250979-44760</v>
      </c>
    </row>
    <row r="2178" spans="1:5" ht="14.25" customHeight="1">
      <c r="A2178" s="5">
        <v>1210</v>
      </c>
      <c r="B2178" s="5">
        <v>250979</v>
      </c>
      <c r="C2178" s="17">
        <v>44767</v>
      </c>
      <c r="D2178" s="5">
        <v>23</v>
      </c>
      <c r="E2178" t="str">
        <f t="shared" si="33"/>
        <v>1210-250979-44767</v>
      </c>
    </row>
    <row r="2179" spans="1:5" ht="14.25" customHeight="1">
      <c r="A2179" s="5">
        <v>1210</v>
      </c>
      <c r="B2179" s="5">
        <v>250979</v>
      </c>
      <c r="C2179" s="17">
        <v>44774</v>
      </c>
      <c r="D2179" s="5">
        <v>23</v>
      </c>
      <c r="E2179" t="str">
        <f t="shared" ref="E2179:E2242" si="34">A2179&amp;"-"&amp;B2179&amp;"-"&amp;INT(C2179)</f>
        <v>1210-250979-44774</v>
      </c>
    </row>
    <row r="2180" spans="1:5" ht="14.25" customHeight="1">
      <c r="A2180" s="5">
        <v>1210</v>
      </c>
      <c r="B2180" s="5">
        <v>250979</v>
      </c>
      <c r="C2180" s="17">
        <v>44781</v>
      </c>
      <c r="D2180" s="5">
        <v>23</v>
      </c>
      <c r="E2180" t="str">
        <f t="shared" si="34"/>
        <v>1210-250979-44781</v>
      </c>
    </row>
    <row r="2181" spans="1:5" ht="14.25" customHeight="1">
      <c r="A2181" s="5">
        <v>1210</v>
      </c>
      <c r="B2181" s="5">
        <v>250979</v>
      </c>
      <c r="C2181" s="17">
        <v>44788</v>
      </c>
      <c r="D2181" s="5">
        <v>23</v>
      </c>
      <c r="E2181" t="str">
        <f t="shared" si="34"/>
        <v>1210-250979-44788</v>
      </c>
    </row>
    <row r="2182" spans="1:5" ht="14.25" customHeight="1">
      <c r="A2182" s="5">
        <v>1210</v>
      </c>
      <c r="B2182" s="5">
        <v>250981</v>
      </c>
      <c r="C2182" s="17">
        <v>44739</v>
      </c>
      <c r="D2182" s="5">
        <v>9</v>
      </c>
      <c r="E2182" t="str">
        <f t="shared" si="34"/>
        <v>1210-250981-44739</v>
      </c>
    </row>
    <row r="2183" spans="1:5" ht="14.25" customHeight="1">
      <c r="A2183" s="5">
        <v>1210</v>
      </c>
      <c r="B2183" s="5">
        <v>250981</v>
      </c>
      <c r="C2183" s="17">
        <v>44746</v>
      </c>
      <c r="D2183" s="5">
        <v>-3</v>
      </c>
      <c r="E2183" t="str">
        <f t="shared" si="34"/>
        <v>1210-250981-44746</v>
      </c>
    </row>
    <row r="2184" spans="1:5" ht="14.25" customHeight="1">
      <c r="A2184" s="5">
        <v>1210</v>
      </c>
      <c r="B2184" s="5">
        <v>250981</v>
      </c>
      <c r="C2184" s="17">
        <v>44753</v>
      </c>
      <c r="D2184" s="5">
        <v>15</v>
      </c>
      <c r="E2184" t="str">
        <f t="shared" si="34"/>
        <v>1210-250981-44753</v>
      </c>
    </row>
    <row r="2185" spans="1:5" ht="14.25" customHeight="1">
      <c r="A2185" s="5">
        <v>1210</v>
      </c>
      <c r="B2185" s="5">
        <v>250981</v>
      </c>
      <c r="C2185" s="17">
        <v>44760</v>
      </c>
      <c r="D2185" s="5">
        <v>9</v>
      </c>
      <c r="E2185" t="str">
        <f t="shared" si="34"/>
        <v>1210-250981-44760</v>
      </c>
    </row>
    <row r="2186" spans="1:5" ht="14.25" customHeight="1">
      <c r="A2186" s="5">
        <v>1210</v>
      </c>
      <c r="B2186" s="5">
        <v>250981</v>
      </c>
      <c r="C2186" s="17">
        <v>44767</v>
      </c>
      <c r="D2186" s="5">
        <v>6</v>
      </c>
      <c r="E2186" t="str">
        <f t="shared" si="34"/>
        <v>1210-250981-44767</v>
      </c>
    </row>
    <row r="2187" spans="1:5" ht="14.25" customHeight="1">
      <c r="A2187" s="5">
        <v>1210</v>
      </c>
      <c r="B2187" s="5">
        <v>250981</v>
      </c>
      <c r="C2187" s="17">
        <v>44774</v>
      </c>
      <c r="D2187" s="5">
        <v>-2</v>
      </c>
      <c r="E2187" t="str">
        <f t="shared" si="34"/>
        <v>1210-250981-44774</v>
      </c>
    </row>
    <row r="2188" spans="1:5" ht="14.25" customHeight="1">
      <c r="A2188" s="5">
        <v>1210</v>
      </c>
      <c r="B2188" s="5">
        <v>250981</v>
      </c>
      <c r="C2188" s="17">
        <v>44781</v>
      </c>
      <c r="D2188" s="5">
        <v>-3</v>
      </c>
      <c r="E2188" t="str">
        <f t="shared" si="34"/>
        <v>1210-250981-44781</v>
      </c>
    </row>
    <row r="2189" spans="1:5" ht="14.25" customHeight="1">
      <c r="A2189" s="5">
        <v>1210</v>
      </c>
      <c r="B2189" s="5">
        <v>250981</v>
      </c>
      <c r="C2189" s="17">
        <v>44788</v>
      </c>
      <c r="D2189" s="5">
        <v>9</v>
      </c>
      <c r="E2189" t="str">
        <f t="shared" si="34"/>
        <v>1210-250981-44788</v>
      </c>
    </row>
    <row r="2190" spans="1:5" ht="14.25" customHeight="1">
      <c r="A2190" s="5">
        <v>1210</v>
      </c>
      <c r="B2190" s="5">
        <v>262294</v>
      </c>
      <c r="C2190" s="17">
        <v>44739</v>
      </c>
      <c r="D2190" s="5">
        <v>45</v>
      </c>
      <c r="E2190" t="str">
        <f t="shared" si="34"/>
        <v>1210-262294-44739</v>
      </c>
    </row>
    <row r="2191" spans="1:5" ht="14.25" customHeight="1">
      <c r="A2191" s="5">
        <v>1210</v>
      </c>
      <c r="B2191" s="5">
        <v>262294</v>
      </c>
      <c r="C2191" s="17">
        <v>44746</v>
      </c>
      <c r="D2191" s="5">
        <v>45</v>
      </c>
      <c r="E2191" t="str">
        <f t="shared" si="34"/>
        <v>1210-262294-44746</v>
      </c>
    </row>
    <row r="2192" spans="1:5" ht="14.25" customHeight="1">
      <c r="A2192" s="5">
        <v>1210</v>
      </c>
      <c r="B2192" s="5">
        <v>262294</v>
      </c>
      <c r="C2192" s="17">
        <v>44753</v>
      </c>
      <c r="D2192" s="5">
        <v>45</v>
      </c>
      <c r="E2192" t="str">
        <f t="shared" si="34"/>
        <v>1210-262294-44753</v>
      </c>
    </row>
    <row r="2193" spans="1:5" ht="14.25" customHeight="1">
      <c r="A2193" s="5">
        <v>1210</v>
      </c>
      <c r="B2193" s="5">
        <v>262294</v>
      </c>
      <c r="C2193" s="17">
        <v>44760</v>
      </c>
      <c r="D2193" s="5">
        <v>45</v>
      </c>
      <c r="E2193" t="str">
        <f t="shared" si="34"/>
        <v>1210-262294-44760</v>
      </c>
    </row>
    <row r="2194" spans="1:5" ht="14.25" customHeight="1">
      <c r="A2194" s="5">
        <v>1210</v>
      </c>
      <c r="B2194" s="5">
        <v>262294</v>
      </c>
      <c r="C2194" s="17">
        <v>44767</v>
      </c>
      <c r="D2194" s="5">
        <v>45</v>
      </c>
      <c r="E2194" t="str">
        <f t="shared" si="34"/>
        <v>1210-262294-44767</v>
      </c>
    </row>
    <row r="2195" spans="1:5" ht="14.25" customHeight="1">
      <c r="A2195" s="5">
        <v>1210</v>
      </c>
      <c r="B2195" s="5">
        <v>262294</v>
      </c>
      <c r="C2195" s="17">
        <v>44774</v>
      </c>
      <c r="D2195" s="5">
        <v>45</v>
      </c>
      <c r="E2195" t="str">
        <f t="shared" si="34"/>
        <v>1210-262294-44774</v>
      </c>
    </row>
    <row r="2196" spans="1:5" ht="14.25" customHeight="1">
      <c r="A2196" s="5">
        <v>1210</v>
      </c>
      <c r="B2196" s="5">
        <v>262294</v>
      </c>
      <c r="C2196" s="17">
        <v>44781</v>
      </c>
      <c r="D2196" s="5">
        <v>45</v>
      </c>
      <c r="E2196" t="str">
        <f t="shared" si="34"/>
        <v>1210-262294-44781</v>
      </c>
    </row>
    <row r="2197" spans="1:5" ht="14.25" customHeight="1">
      <c r="A2197" s="5">
        <v>1210</v>
      </c>
      <c r="B2197" s="5">
        <v>262294</v>
      </c>
      <c r="C2197" s="17">
        <v>44788</v>
      </c>
      <c r="D2197" s="5">
        <v>45</v>
      </c>
      <c r="E2197" t="str">
        <f t="shared" si="34"/>
        <v>1210-262294-44788</v>
      </c>
    </row>
    <row r="2198" spans="1:5" ht="14.25" customHeight="1">
      <c r="A2198" s="5">
        <v>1210</v>
      </c>
      <c r="B2198" s="5">
        <v>268831</v>
      </c>
      <c r="C2198" s="17">
        <v>44739</v>
      </c>
      <c r="D2198" s="5">
        <v>474</v>
      </c>
      <c r="E2198" t="str">
        <f t="shared" si="34"/>
        <v>1210-268831-44739</v>
      </c>
    </row>
    <row r="2199" spans="1:5" ht="14.25" customHeight="1">
      <c r="A2199" s="5">
        <v>1210</v>
      </c>
      <c r="B2199" s="5">
        <v>268831</v>
      </c>
      <c r="C2199" s="17">
        <v>44746</v>
      </c>
      <c r="D2199" s="5">
        <v>489</v>
      </c>
      <c r="E2199" t="str">
        <f t="shared" si="34"/>
        <v>1210-268831-44746</v>
      </c>
    </row>
    <row r="2200" spans="1:5" ht="14.25" customHeight="1">
      <c r="A2200" s="5">
        <v>1210</v>
      </c>
      <c r="B2200" s="5">
        <v>268831</v>
      </c>
      <c r="C2200" s="17">
        <v>44753</v>
      </c>
      <c r="D2200" s="5">
        <v>643</v>
      </c>
      <c r="E2200" t="str">
        <f t="shared" si="34"/>
        <v>1210-268831-44753</v>
      </c>
    </row>
    <row r="2201" spans="1:5" ht="14.25" customHeight="1">
      <c r="A2201" s="5">
        <v>1210</v>
      </c>
      <c r="B2201" s="5">
        <v>268831</v>
      </c>
      <c r="C2201" s="17">
        <v>44760</v>
      </c>
      <c r="D2201" s="5">
        <v>430</v>
      </c>
      <c r="E2201" t="str">
        <f t="shared" si="34"/>
        <v>1210-268831-44760</v>
      </c>
    </row>
    <row r="2202" spans="1:5" ht="14.25" customHeight="1">
      <c r="A2202" s="5">
        <v>1210</v>
      </c>
      <c r="B2202" s="5">
        <v>268831</v>
      </c>
      <c r="C2202" s="17">
        <v>44767</v>
      </c>
      <c r="D2202" s="5">
        <v>135</v>
      </c>
      <c r="E2202" t="str">
        <f t="shared" si="34"/>
        <v>1210-268831-44767</v>
      </c>
    </row>
    <row r="2203" spans="1:5" ht="14.25" customHeight="1">
      <c r="A2203" s="5">
        <v>1210</v>
      </c>
      <c r="B2203" s="5">
        <v>268831</v>
      </c>
      <c r="C2203" s="17">
        <v>44774</v>
      </c>
      <c r="D2203" s="5">
        <v>490</v>
      </c>
      <c r="E2203" t="str">
        <f t="shared" si="34"/>
        <v>1210-268831-44774</v>
      </c>
    </row>
    <row r="2204" spans="1:5" ht="14.25" customHeight="1">
      <c r="A2204" s="5">
        <v>1210</v>
      </c>
      <c r="B2204" s="5">
        <v>268831</v>
      </c>
      <c r="C2204" s="17">
        <v>44781</v>
      </c>
      <c r="D2204" s="5">
        <v>137</v>
      </c>
      <c r="E2204" t="str">
        <f t="shared" si="34"/>
        <v>1210-268831-44781</v>
      </c>
    </row>
    <row r="2205" spans="1:5" ht="14.25" customHeight="1">
      <c r="A2205" s="5">
        <v>1210</v>
      </c>
      <c r="B2205" s="5">
        <v>268831</v>
      </c>
      <c r="C2205" s="17">
        <v>44788</v>
      </c>
      <c r="D2205" s="5">
        <v>445</v>
      </c>
      <c r="E2205" t="str">
        <f t="shared" si="34"/>
        <v>1210-268831-44788</v>
      </c>
    </row>
    <row r="2206" spans="1:5" ht="14.25" customHeight="1">
      <c r="A2206" s="5">
        <v>1210</v>
      </c>
      <c r="B2206" s="5">
        <v>273701</v>
      </c>
      <c r="C2206" s="17">
        <v>44739</v>
      </c>
      <c r="D2206" s="5">
        <v>370</v>
      </c>
      <c r="E2206" t="str">
        <f t="shared" si="34"/>
        <v>1210-273701-44739</v>
      </c>
    </row>
    <row r="2207" spans="1:5" ht="14.25" customHeight="1">
      <c r="A2207" s="5">
        <v>1210</v>
      </c>
      <c r="B2207" s="5">
        <v>273701</v>
      </c>
      <c r="C2207" s="17">
        <v>44746</v>
      </c>
      <c r="D2207" s="5">
        <v>80</v>
      </c>
      <c r="E2207" t="str">
        <f t="shared" si="34"/>
        <v>1210-273701-44746</v>
      </c>
    </row>
    <row r="2208" spans="1:5" ht="14.25" customHeight="1">
      <c r="A2208" s="5">
        <v>1210</v>
      </c>
      <c r="B2208" s="5">
        <v>273701</v>
      </c>
      <c r="C2208" s="17">
        <v>44753</v>
      </c>
      <c r="D2208" s="5">
        <v>306</v>
      </c>
      <c r="E2208" t="str">
        <f t="shared" si="34"/>
        <v>1210-273701-44753</v>
      </c>
    </row>
    <row r="2209" spans="1:5" ht="14.25" customHeight="1">
      <c r="A2209" s="5">
        <v>1210</v>
      </c>
      <c r="B2209" s="5">
        <v>273701</v>
      </c>
      <c r="C2209" s="17">
        <v>44760</v>
      </c>
      <c r="D2209" s="5">
        <v>79</v>
      </c>
      <c r="E2209" t="str">
        <f t="shared" si="34"/>
        <v>1210-273701-44760</v>
      </c>
    </row>
    <row r="2210" spans="1:5" ht="14.25" customHeight="1">
      <c r="A2210" s="5">
        <v>1210</v>
      </c>
      <c r="B2210" s="5">
        <v>273701</v>
      </c>
      <c r="C2210" s="17">
        <v>44767</v>
      </c>
      <c r="D2210" s="5">
        <v>218</v>
      </c>
      <c r="E2210" t="str">
        <f t="shared" si="34"/>
        <v>1210-273701-44767</v>
      </c>
    </row>
    <row r="2211" spans="1:5" ht="14.25" customHeight="1">
      <c r="A2211" s="5">
        <v>1210</v>
      </c>
      <c r="B2211" s="5">
        <v>273701</v>
      </c>
      <c r="C2211" s="17">
        <v>44774</v>
      </c>
      <c r="D2211" s="5">
        <v>255</v>
      </c>
      <c r="E2211" t="str">
        <f t="shared" si="34"/>
        <v>1210-273701-44774</v>
      </c>
    </row>
    <row r="2212" spans="1:5" ht="14.25" customHeight="1">
      <c r="A2212" s="5">
        <v>1210</v>
      </c>
      <c r="B2212" s="5">
        <v>273701</v>
      </c>
      <c r="C2212" s="17">
        <v>44781</v>
      </c>
      <c r="D2212" s="5">
        <v>75</v>
      </c>
      <c r="E2212" t="str">
        <f t="shared" si="34"/>
        <v>1210-273701-44781</v>
      </c>
    </row>
    <row r="2213" spans="1:5" ht="14.25" customHeight="1">
      <c r="A2213" s="5">
        <v>1210</v>
      </c>
      <c r="B2213" s="5">
        <v>273701</v>
      </c>
      <c r="C2213" s="17">
        <v>44788</v>
      </c>
      <c r="D2213" s="5">
        <v>82</v>
      </c>
      <c r="E2213" t="str">
        <f t="shared" si="34"/>
        <v>1210-273701-44788</v>
      </c>
    </row>
    <row r="2214" spans="1:5" ht="14.25" customHeight="1">
      <c r="A2214" s="5">
        <v>1210</v>
      </c>
      <c r="B2214" s="5">
        <v>291726</v>
      </c>
      <c r="C2214" s="17">
        <v>44739</v>
      </c>
      <c r="D2214" s="5">
        <v>13</v>
      </c>
      <c r="E2214" t="str">
        <f t="shared" si="34"/>
        <v>1210-291726-44739</v>
      </c>
    </row>
    <row r="2215" spans="1:5" ht="14.25" customHeight="1">
      <c r="A2215" s="5">
        <v>1210</v>
      </c>
      <c r="B2215" s="5">
        <v>291726</v>
      </c>
      <c r="C2215" s="17">
        <v>44746</v>
      </c>
      <c r="D2215" s="5">
        <v>45</v>
      </c>
      <c r="E2215" t="str">
        <f t="shared" si="34"/>
        <v>1210-291726-44746</v>
      </c>
    </row>
    <row r="2216" spans="1:5" ht="14.25" customHeight="1">
      <c r="A2216" s="5">
        <v>1210</v>
      </c>
      <c r="B2216" s="5">
        <v>291726</v>
      </c>
      <c r="C2216" s="17">
        <v>44753</v>
      </c>
      <c r="D2216" s="5">
        <v>11</v>
      </c>
      <c r="E2216" t="str">
        <f t="shared" si="34"/>
        <v>1210-291726-44753</v>
      </c>
    </row>
    <row r="2217" spans="1:5" ht="14.25" customHeight="1">
      <c r="A2217" s="5">
        <v>1210</v>
      </c>
      <c r="B2217" s="5">
        <v>291726</v>
      </c>
      <c r="C2217" s="17">
        <v>44760</v>
      </c>
      <c r="D2217" s="5">
        <v>51</v>
      </c>
      <c r="E2217" t="str">
        <f t="shared" si="34"/>
        <v>1210-291726-44760</v>
      </c>
    </row>
    <row r="2218" spans="1:5" ht="14.25" customHeight="1">
      <c r="A2218" s="5">
        <v>1210</v>
      </c>
      <c r="B2218" s="5">
        <v>291726</v>
      </c>
      <c r="C2218" s="17">
        <v>44767</v>
      </c>
      <c r="D2218" s="5">
        <v>42</v>
      </c>
      <c r="E2218" t="str">
        <f t="shared" si="34"/>
        <v>1210-291726-44767</v>
      </c>
    </row>
    <row r="2219" spans="1:5" ht="14.25" customHeight="1">
      <c r="A2219" s="5">
        <v>1210</v>
      </c>
      <c r="B2219" s="5">
        <v>291726</v>
      </c>
      <c r="C2219" s="17">
        <v>44774</v>
      </c>
      <c r="D2219" s="5">
        <v>61</v>
      </c>
      <c r="E2219" t="str">
        <f t="shared" si="34"/>
        <v>1210-291726-44774</v>
      </c>
    </row>
    <row r="2220" spans="1:5" ht="14.25" customHeight="1">
      <c r="A2220" s="5">
        <v>1210</v>
      </c>
      <c r="B2220" s="5">
        <v>291726</v>
      </c>
      <c r="C2220" s="17">
        <v>44781</v>
      </c>
      <c r="D2220" s="5">
        <v>42</v>
      </c>
      <c r="E2220" t="str">
        <f t="shared" si="34"/>
        <v>1210-291726-44781</v>
      </c>
    </row>
    <row r="2221" spans="1:5" ht="14.25" customHeight="1">
      <c r="A2221" s="5">
        <v>1210</v>
      </c>
      <c r="B2221" s="5">
        <v>291726</v>
      </c>
      <c r="C2221" s="17">
        <v>44788</v>
      </c>
      <c r="D2221" s="5">
        <v>60</v>
      </c>
      <c r="E2221" t="str">
        <f t="shared" si="34"/>
        <v>1210-291726-44788</v>
      </c>
    </row>
    <row r="2222" spans="1:5" ht="14.25" customHeight="1">
      <c r="A2222" s="5">
        <v>1210</v>
      </c>
      <c r="B2222" s="5">
        <v>291728</v>
      </c>
      <c r="C2222" s="17">
        <v>44739</v>
      </c>
      <c r="D2222" s="5">
        <v>72</v>
      </c>
      <c r="E2222" t="str">
        <f t="shared" si="34"/>
        <v>1210-291728-44739</v>
      </c>
    </row>
    <row r="2223" spans="1:5" ht="14.25" customHeight="1">
      <c r="A2223" s="5">
        <v>1210</v>
      </c>
      <c r="B2223" s="5">
        <v>291728</v>
      </c>
      <c r="C2223" s="17">
        <v>44746</v>
      </c>
      <c r="D2223" s="5">
        <v>54</v>
      </c>
      <c r="E2223" t="str">
        <f t="shared" si="34"/>
        <v>1210-291728-44746</v>
      </c>
    </row>
    <row r="2224" spans="1:5" ht="14.25" customHeight="1">
      <c r="A2224" s="5">
        <v>1210</v>
      </c>
      <c r="B2224" s="5">
        <v>291728</v>
      </c>
      <c r="C2224" s="17">
        <v>44753</v>
      </c>
      <c r="D2224" s="5">
        <v>45</v>
      </c>
      <c r="E2224" t="str">
        <f t="shared" si="34"/>
        <v>1210-291728-44753</v>
      </c>
    </row>
    <row r="2225" spans="1:5" ht="14.25" customHeight="1">
      <c r="A2225" s="5">
        <v>1210</v>
      </c>
      <c r="B2225" s="5">
        <v>291728</v>
      </c>
      <c r="C2225" s="17">
        <v>44760</v>
      </c>
      <c r="D2225" s="5">
        <v>74</v>
      </c>
      <c r="E2225" t="str">
        <f t="shared" si="34"/>
        <v>1210-291728-44760</v>
      </c>
    </row>
    <row r="2226" spans="1:5" ht="14.25" customHeight="1">
      <c r="A2226" s="5">
        <v>1210</v>
      </c>
      <c r="B2226" s="5">
        <v>291728</v>
      </c>
      <c r="C2226" s="17">
        <v>44767</v>
      </c>
      <c r="D2226" s="5">
        <v>68</v>
      </c>
      <c r="E2226" t="str">
        <f t="shared" si="34"/>
        <v>1210-291728-44767</v>
      </c>
    </row>
    <row r="2227" spans="1:5" ht="14.25" customHeight="1">
      <c r="A2227" s="5">
        <v>1210</v>
      </c>
      <c r="B2227" s="5">
        <v>291728</v>
      </c>
      <c r="C2227" s="17">
        <v>44774</v>
      </c>
      <c r="D2227" s="5">
        <v>68</v>
      </c>
      <c r="E2227" t="str">
        <f t="shared" si="34"/>
        <v>1210-291728-44774</v>
      </c>
    </row>
    <row r="2228" spans="1:5" ht="14.25" customHeight="1">
      <c r="A2228" s="5">
        <v>1210</v>
      </c>
      <c r="B2228" s="5">
        <v>291728</v>
      </c>
      <c r="C2228" s="17">
        <v>44781</v>
      </c>
      <c r="D2228" s="5">
        <v>14</v>
      </c>
      <c r="E2228" t="str">
        <f t="shared" si="34"/>
        <v>1210-291728-44781</v>
      </c>
    </row>
    <row r="2229" spans="1:5" ht="14.25" customHeight="1">
      <c r="A2229" s="5">
        <v>1210</v>
      </c>
      <c r="B2229" s="5">
        <v>291728</v>
      </c>
      <c r="C2229" s="17">
        <v>44788</v>
      </c>
      <c r="D2229" s="5">
        <v>74</v>
      </c>
      <c r="E2229" t="str">
        <f t="shared" si="34"/>
        <v>1210-291728-44788</v>
      </c>
    </row>
    <row r="2230" spans="1:5" ht="14.25" customHeight="1">
      <c r="A2230" s="5">
        <v>1210</v>
      </c>
      <c r="B2230" s="5">
        <v>300380</v>
      </c>
      <c r="C2230" s="17">
        <v>32874</v>
      </c>
      <c r="D2230" s="5">
        <v>62</v>
      </c>
      <c r="E2230" t="str">
        <f t="shared" si="34"/>
        <v>1210-300380-32874</v>
      </c>
    </row>
    <row r="2231" spans="1:5" ht="14.25" customHeight="1">
      <c r="A2231" s="5">
        <v>1210</v>
      </c>
      <c r="B2231" s="5">
        <v>300380</v>
      </c>
      <c r="C2231" s="17">
        <v>44739</v>
      </c>
      <c r="D2231" s="5">
        <v>138</v>
      </c>
      <c r="E2231" t="str">
        <f t="shared" si="34"/>
        <v>1210-300380-44739</v>
      </c>
    </row>
    <row r="2232" spans="1:5" ht="14.25" customHeight="1">
      <c r="A2232" s="5">
        <v>1210</v>
      </c>
      <c r="B2232" s="5">
        <v>300380</v>
      </c>
      <c r="C2232" s="17">
        <v>44746</v>
      </c>
      <c r="D2232" s="5">
        <v>142</v>
      </c>
      <c r="E2232" t="str">
        <f t="shared" si="34"/>
        <v>1210-300380-44746</v>
      </c>
    </row>
    <row r="2233" spans="1:5" ht="14.25" customHeight="1">
      <c r="A2233" s="5">
        <v>1210</v>
      </c>
      <c r="B2233" s="5">
        <v>300380</v>
      </c>
      <c r="C2233" s="17">
        <v>44753</v>
      </c>
      <c r="D2233" s="5">
        <v>144</v>
      </c>
      <c r="E2233" t="str">
        <f t="shared" si="34"/>
        <v>1210-300380-44753</v>
      </c>
    </row>
    <row r="2234" spans="1:5" ht="14.25" customHeight="1">
      <c r="A2234" s="5">
        <v>1210</v>
      </c>
      <c r="B2234" s="5">
        <v>300380</v>
      </c>
      <c r="C2234" s="17">
        <v>44760</v>
      </c>
      <c r="D2234" s="5">
        <v>150</v>
      </c>
      <c r="E2234" t="str">
        <f t="shared" si="34"/>
        <v>1210-300380-44760</v>
      </c>
    </row>
    <row r="2235" spans="1:5" ht="14.25" customHeight="1">
      <c r="A2235" s="5">
        <v>1210</v>
      </c>
      <c r="B2235" s="5">
        <v>300380</v>
      </c>
      <c r="C2235" s="17">
        <v>44767</v>
      </c>
      <c r="D2235" s="5">
        <v>186</v>
      </c>
      <c r="E2235" t="str">
        <f t="shared" si="34"/>
        <v>1210-300380-44767</v>
      </c>
    </row>
    <row r="2236" spans="1:5" ht="14.25" customHeight="1">
      <c r="A2236" s="5">
        <v>1210</v>
      </c>
      <c r="B2236" s="5">
        <v>300380</v>
      </c>
      <c r="C2236" s="17">
        <v>44774</v>
      </c>
      <c r="D2236" s="5">
        <v>174</v>
      </c>
      <c r="E2236" t="str">
        <f t="shared" si="34"/>
        <v>1210-300380-44774</v>
      </c>
    </row>
    <row r="2237" spans="1:5" ht="14.25" customHeight="1">
      <c r="A2237" s="5">
        <v>1210</v>
      </c>
      <c r="B2237" s="5">
        <v>300380</v>
      </c>
      <c r="C2237" s="17">
        <v>44781</v>
      </c>
      <c r="D2237" s="5">
        <v>57</v>
      </c>
      <c r="E2237" t="str">
        <f t="shared" si="34"/>
        <v>1210-300380-44781</v>
      </c>
    </row>
    <row r="2238" spans="1:5" ht="14.25" customHeight="1">
      <c r="A2238" s="5">
        <v>1210</v>
      </c>
      <c r="B2238" s="5">
        <v>300380</v>
      </c>
      <c r="C2238" s="17">
        <v>44788</v>
      </c>
      <c r="D2238" s="5">
        <v>126</v>
      </c>
      <c r="E2238" t="str">
        <f t="shared" si="34"/>
        <v>1210-300380-44788</v>
      </c>
    </row>
    <row r="2239" spans="1:5" ht="14.25" customHeight="1">
      <c r="A2239" s="5">
        <v>1210</v>
      </c>
      <c r="B2239" s="5">
        <v>571521</v>
      </c>
      <c r="C2239" s="17">
        <v>44739</v>
      </c>
      <c r="D2239" s="5">
        <v>399</v>
      </c>
      <c r="E2239" t="str">
        <f t="shared" si="34"/>
        <v>1210-571521-44739</v>
      </c>
    </row>
    <row r="2240" spans="1:5" ht="14.25" customHeight="1">
      <c r="A2240" s="5">
        <v>1210</v>
      </c>
      <c r="B2240" s="5">
        <v>571521</v>
      </c>
      <c r="C2240" s="17">
        <v>44746</v>
      </c>
      <c r="D2240" s="5">
        <v>324</v>
      </c>
      <c r="E2240" t="str">
        <f t="shared" si="34"/>
        <v>1210-571521-44746</v>
      </c>
    </row>
    <row r="2241" spans="1:5" ht="14.25" customHeight="1">
      <c r="A2241" s="5">
        <v>1210</v>
      </c>
      <c r="B2241" s="5">
        <v>571521</v>
      </c>
      <c r="C2241" s="17">
        <v>44753</v>
      </c>
      <c r="D2241" s="5">
        <v>214</v>
      </c>
      <c r="E2241" t="str">
        <f t="shared" si="34"/>
        <v>1210-571521-44753</v>
      </c>
    </row>
    <row r="2242" spans="1:5" ht="14.25" customHeight="1">
      <c r="A2242" s="5">
        <v>1210</v>
      </c>
      <c r="B2242" s="5">
        <v>571521</v>
      </c>
      <c r="C2242" s="17">
        <v>44760</v>
      </c>
      <c r="D2242" s="5">
        <v>391</v>
      </c>
      <c r="E2242" t="str">
        <f t="shared" si="34"/>
        <v>1210-571521-44760</v>
      </c>
    </row>
    <row r="2243" spans="1:5" ht="14.25" customHeight="1">
      <c r="A2243" s="5">
        <v>1210</v>
      </c>
      <c r="B2243" s="5">
        <v>571521</v>
      </c>
      <c r="C2243" s="17">
        <v>44767</v>
      </c>
      <c r="D2243" s="5">
        <v>288</v>
      </c>
      <c r="E2243" t="str">
        <f t="shared" ref="E2243:E2306" si="35">A2243&amp;"-"&amp;B2243&amp;"-"&amp;INT(C2243)</f>
        <v>1210-571521-44767</v>
      </c>
    </row>
    <row r="2244" spans="1:5" ht="14.25" customHeight="1">
      <c r="A2244" s="5">
        <v>1210</v>
      </c>
      <c r="B2244" s="5">
        <v>571521</v>
      </c>
      <c r="C2244" s="17">
        <v>44774</v>
      </c>
      <c r="D2244" s="5">
        <v>392</v>
      </c>
      <c r="E2244" t="str">
        <f t="shared" si="35"/>
        <v>1210-571521-44774</v>
      </c>
    </row>
    <row r="2245" spans="1:5" ht="14.25" customHeight="1">
      <c r="A2245" s="5">
        <v>1210</v>
      </c>
      <c r="B2245" s="5">
        <v>571521</v>
      </c>
      <c r="C2245" s="17">
        <v>44781</v>
      </c>
      <c r="D2245" s="5">
        <v>411</v>
      </c>
      <c r="E2245" t="str">
        <f t="shared" si="35"/>
        <v>1210-571521-44781</v>
      </c>
    </row>
    <row r="2246" spans="1:5" ht="14.25" customHeight="1">
      <c r="A2246" s="5">
        <v>1210</v>
      </c>
      <c r="B2246" s="5">
        <v>571521</v>
      </c>
      <c r="C2246" s="17">
        <v>44788</v>
      </c>
      <c r="D2246" s="5">
        <v>343</v>
      </c>
      <c r="E2246" t="str">
        <f t="shared" si="35"/>
        <v>1210-571521-44788</v>
      </c>
    </row>
    <row r="2247" spans="1:5" ht="14.25" customHeight="1">
      <c r="A2247" s="5">
        <v>1210</v>
      </c>
      <c r="B2247" s="5">
        <v>614993</v>
      </c>
      <c r="C2247" s="17">
        <v>44739</v>
      </c>
      <c r="D2247" s="5">
        <v>18</v>
      </c>
      <c r="E2247" t="str">
        <f t="shared" si="35"/>
        <v>1210-614993-44739</v>
      </c>
    </row>
    <row r="2248" spans="1:5" ht="14.25" customHeight="1">
      <c r="A2248" s="5">
        <v>1210</v>
      </c>
      <c r="B2248" s="5">
        <v>614993</v>
      </c>
      <c r="C2248" s="17">
        <v>44746</v>
      </c>
      <c r="D2248" s="5">
        <v>18</v>
      </c>
      <c r="E2248" t="str">
        <f t="shared" si="35"/>
        <v>1210-614993-44746</v>
      </c>
    </row>
    <row r="2249" spans="1:5" ht="14.25" customHeight="1">
      <c r="A2249" s="5">
        <v>1210</v>
      </c>
      <c r="B2249" s="5">
        <v>614993</v>
      </c>
      <c r="C2249" s="17">
        <v>44753</v>
      </c>
      <c r="D2249" s="5">
        <v>18</v>
      </c>
      <c r="E2249" t="str">
        <f t="shared" si="35"/>
        <v>1210-614993-44753</v>
      </c>
    </row>
    <row r="2250" spans="1:5" ht="14.25" customHeight="1">
      <c r="A2250" s="5">
        <v>1210</v>
      </c>
      <c r="B2250" s="5">
        <v>614993</v>
      </c>
      <c r="C2250" s="17">
        <v>44760</v>
      </c>
      <c r="D2250" s="5">
        <v>18</v>
      </c>
      <c r="E2250" t="str">
        <f t="shared" si="35"/>
        <v>1210-614993-44760</v>
      </c>
    </row>
    <row r="2251" spans="1:5" ht="14.25" customHeight="1">
      <c r="A2251" s="5">
        <v>1210</v>
      </c>
      <c r="B2251" s="5">
        <v>614993</v>
      </c>
      <c r="C2251" s="17">
        <v>44767</v>
      </c>
      <c r="D2251" s="5">
        <v>18</v>
      </c>
      <c r="E2251" t="str">
        <f t="shared" si="35"/>
        <v>1210-614993-44767</v>
      </c>
    </row>
    <row r="2252" spans="1:5" ht="14.25" customHeight="1">
      <c r="A2252" s="5">
        <v>1210</v>
      </c>
      <c r="B2252" s="5">
        <v>614993</v>
      </c>
      <c r="C2252" s="17">
        <v>44774</v>
      </c>
      <c r="D2252" s="5">
        <v>18</v>
      </c>
      <c r="E2252" t="str">
        <f t="shared" si="35"/>
        <v>1210-614993-44774</v>
      </c>
    </row>
    <row r="2253" spans="1:5" ht="14.25" customHeight="1">
      <c r="A2253" s="5">
        <v>1210</v>
      </c>
      <c r="B2253" s="5">
        <v>614993</v>
      </c>
      <c r="C2253" s="17">
        <v>44781</v>
      </c>
      <c r="D2253" s="5">
        <v>18</v>
      </c>
      <c r="E2253" t="str">
        <f t="shared" si="35"/>
        <v>1210-614993-44781</v>
      </c>
    </row>
    <row r="2254" spans="1:5" ht="14.25" customHeight="1">
      <c r="A2254" s="5">
        <v>1210</v>
      </c>
      <c r="B2254" s="5">
        <v>614993</v>
      </c>
      <c r="C2254" s="17">
        <v>44788</v>
      </c>
      <c r="D2254" s="5">
        <v>18</v>
      </c>
      <c r="E2254" t="str">
        <f t="shared" si="35"/>
        <v>1210-614993-44788</v>
      </c>
    </row>
    <row r="2255" spans="1:5" ht="14.25" customHeight="1">
      <c r="A2255" s="5">
        <v>1211</v>
      </c>
      <c r="B2255" s="5">
        <v>23393</v>
      </c>
      <c r="C2255" s="17">
        <v>32874</v>
      </c>
      <c r="D2255" s="5">
        <v>415</v>
      </c>
      <c r="E2255" t="str">
        <f t="shared" si="35"/>
        <v>1211-23393-32874</v>
      </c>
    </row>
    <row r="2256" spans="1:5" ht="14.25" customHeight="1">
      <c r="A2256" s="5">
        <v>1211</v>
      </c>
      <c r="B2256" s="5">
        <v>23393</v>
      </c>
      <c r="C2256" s="17">
        <v>44739</v>
      </c>
      <c r="D2256" s="5">
        <v>412</v>
      </c>
      <c r="E2256" t="str">
        <f t="shared" si="35"/>
        <v>1211-23393-44739</v>
      </c>
    </row>
    <row r="2257" spans="1:5" ht="14.25" customHeight="1">
      <c r="A2257" s="5">
        <v>1211</v>
      </c>
      <c r="B2257" s="5">
        <v>23393</v>
      </c>
      <c r="C2257" s="17">
        <v>44746</v>
      </c>
      <c r="D2257" s="5">
        <v>413</v>
      </c>
      <c r="E2257" t="str">
        <f t="shared" si="35"/>
        <v>1211-23393-44746</v>
      </c>
    </row>
    <row r="2258" spans="1:5" ht="14.25" customHeight="1">
      <c r="A2258" s="5">
        <v>1211</v>
      </c>
      <c r="B2258" s="5">
        <v>23393</v>
      </c>
      <c r="C2258" s="17">
        <v>44753</v>
      </c>
      <c r="D2258" s="5">
        <v>576</v>
      </c>
      <c r="E2258" t="str">
        <f t="shared" si="35"/>
        <v>1211-23393-44753</v>
      </c>
    </row>
    <row r="2259" spans="1:5" ht="14.25" customHeight="1">
      <c r="A2259" s="5">
        <v>1211</v>
      </c>
      <c r="B2259" s="5">
        <v>23393</v>
      </c>
      <c r="C2259" s="17">
        <v>44760</v>
      </c>
      <c r="D2259" s="5">
        <v>885</v>
      </c>
      <c r="E2259" t="str">
        <f t="shared" si="35"/>
        <v>1211-23393-44760</v>
      </c>
    </row>
    <row r="2260" spans="1:5" ht="14.25" customHeight="1">
      <c r="A2260" s="5">
        <v>1211</v>
      </c>
      <c r="B2260" s="5">
        <v>23393</v>
      </c>
      <c r="C2260" s="17">
        <v>44767</v>
      </c>
      <c r="D2260" s="5">
        <v>946</v>
      </c>
      <c r="E2260" t="str">
        <f t="shared" si="35"/>
        <v>1211-23393-44767</v>
      </c>
    </row>
    <row r="2261" spans="1:5" ht="14.25" customHeight="1">
      <c r="A2261" s="5">
        <v>1211</v>
      </c>
      <c r="B2261" s="5">
        <v>23393</v>
      </c>
      <c r="C2261" s="17">
        <v>44774</v>
      </c>
      <c r="D2261" s="5">
        <v>411</v>
      </c>
      <c r="E2261" t="str">
        <f t="shared" si="35"/>
        <v>1211-23393-44774</v>
      </c>
    </row>
    <row r="2262" spans="1:5" ht="14.25" customHeight="1">
      <c r="A2262" s="5">
        <v>1211</v>
      </c>
      <c r="B2262" s="5">
        <v>23393</v>
      </c>
      <c r="C2262" s="17">
        <v>44781</v>
      </c>
      <c r="D2262" s="5">
        <v>540</v>
      </c>
      <c r="E2262" t="str">
        <f t="shared" si="35"/>
        <v>1211-23393-44781</v>
      </c>
    </row>
    <row r="2263" spans="1:5" ht="14.25" customHeight="1">
      <c r="A2263" s="5">
        <v>1211</v>
      </c>
      <c r="B2263" s="5">
        <v>23393</v>
      </c>
      <c r="C2263" s="17">
        <v>44788</v>
      </c>
      <c r="D2263" s="5">
        <v>960</v>
      </c>
      <c r="E2263" t="str">
        <f t="shared" si="35"/>
        <v>1211-23393-44788</v>
      </c>
    </row>
    <row r="2264" spans="1:5" ht="14.25" customHeight="1">
      <c r="A2264" s="5">
        <v>1211</v>
      </c>
      <c r="B2264" s="5">
        <v>26764</v>
      </c>
      <c r="C2264" s="17">
        <v>44739</v>
      </c>
      <c r="D2264" s="5">
        <v>21</v>
      </c>
      <c r="E2264" t="str">
        <f t="shared" si="35"/>
        <v>1211-26764-44739</v>
      </c>
    </row>
    <row r="2265" spans="1:5" ht="14.25" customHeight="1">
      <c r="A2265" s="5">
        <v>1211</v>
      </c>
      <c r="B2265" s="5">
        <v>26764</v>
      </c>
      <c r="C2265" s="17">
        <v>44746</v>
      </c>
      <c r="D2265" s="5">
        <v>136</v>
      </c>
      <c r="E2265" t="str">
        <f t="shared" si="35"/>
        <v>1211-26764-44746</v>
      </c>
    </row>
    <row r="2266" spans="1:5" ht="14.25" customHeight="1">
      <c r="A2266" s="5">
        <v>1211</v>
      </c>
      <c r="B2266" s="5">
        <v>26764</v>
      </c>
      <c r="C2266" s="17">
        <v>44753</v>
      </c>
      <c r="D2266" s="5">
        <v>145</v>
      </c>
      <c r="E2266" t="str">
        <f t="shared" si="35"/>
        <v>1211-26764-44753</v>
      </c>
    </row>
    <row r="2267" spans="1:5" ht="14.25" customHeight="1">
      <c r="A2267" s="5">
        <v>1211</v>
      </c>
      <c r="B2267" s="5">
        <v>26764</v>
      </c>
      <c r="C2267" s="17">
        <v>44760</v>
      </c>
      <c r="D2267" s="5">
        <v>26</v>
      </c>
      <c r="E2267" t="str">
        <f t="shared" si="35"/>
        <v>1211-26764-44760</v>
      </c>
    </row>
    <row r="2268" spans="1:5" ht="14.25" customHeight="1">
      <c r="A2268" s="5">
        <v>1211</v>
      </c>
      <c r="B2268" s="5">
        <v>26764</v>
      </c>
      <c r="C2268" s="17">
        <v>44767</v>
      </c>
      <c r="D2268" s="5">
        <v>28</v>
      </c>
      <c r="E2268" t="str">
        <f t="shared" si="35"/>
        <v>1211-26764-44767</v>
      </c>
    </row>
    <row r="2269" spans="1:5" ht="14.25" customHeight="1">
      <c r="A2269" s="5">
        <v>1211</v>
      </c>
      <c r="B2269" s="5">
        <v>26764</v>
      </c>
      <c r="C2269" s="17">
        <v>44774</v>
      </c>
      <c r="D2269" s="5">
        <v>118</v>
      </c>
      <c r="E2269" t="str">
        <f t="shared" si="35"/>
        <v>1211-26764-44774</v>
      </c>
    </row>
    <row r="2270" spans="1:5" ht="14.25" customHeight="1">
      <c r="A2270" s="5">
        <v>1211</v>
      </c>
      <c r="B2270" s="5">
        <v>26764</v>
      </c>
      <c r="C2270" s="17">
        <v>44781</v>
      </c>
      <c r="D2270" s="5">
        <v>96</v>
      </c>
      <c r="E2270" t="str">
        <f t="shared" si="35"/>
        <v>1211-26764-44781</v>
      </c>
    </row>
    <row r="2271" spans="1:5" ht="14.25" customHeight="1">
      <c r="A2271" s="5">
        <v>1211</v>
      </c>
      <c r="B2271" s="5">
        <v>26764</v>
      </c>
      <c r="C2271" s="17">
        <v>44788</v>
      </c>
      <c r="D2271" s="5">
        <v>104</v>
      </c>
      <c r="E2271" t="str">
        <f t="shared" si="35"/>
        <v>1211-26764-44788</v>
      </c>
    </row>
    <row r="2272" spans="1:5" ht="14.25" customHeight="1">
      <c r="A2272" s="5">
        <v>1211</v>
      </c>
      <c r="B2272" s="5">
        <v>53934</v>
      </c>
      <c r="C2272" s="17">
        <v>44739</v>
      </c>
      <c r="D2272" s="5">
        <v>375</v>
      </c>
      <c r="E2272" t="str">
        <f t="shared" si="35"/>
        <v>1211-53934-44739</v>
      </c>
    </row>
    <row r="2273" spans="1:5" ht="14.25" customHeight="1">
      <c r="A2273" s="5">
        <v>1211</v>
      </c>
      <c r="B2273" s="5">
        <v>53934</v>
      </c>
      <c r="C2273" s="17">
        <v>44746</v>
      </c>
      <c r="D2273" s="5">
        <v>1193</v>
      </c>
      <c r="E2273" t="str">
        <f t="shared" si="35"/>
        <v>1211-53934-44746</v>
      </c>
    </row>
    <row r="2274" spans="1:5" ht="14.25" customHeight="1">
      <c r="A2274" s="5">
        <v>1211</v>
      </c>
      <c r="B2274" s="5">
        <v>53934</v>
      </c>
      <c r="C2274" s="17">
        <v>44753</v>
      </c>
      <c r="D2274" s="5">
        <v>474</v>
      </c>
      <c r="E2274" t="str">
        <f t="shared" si="35"/>
        <v>1211-53934-44753</v>
      </c>
    </row>
    <row r="2275" spans="1:5" ht="14.25" customHeight="1">
      <c r="A2275" s="5">
        <v>1211</v>
      </c>
      <c r="B2275" s="5">
        <v>53934</v>
      </c>
      <c r="C2275" s="17">
        <v>44760</v>
      </c>
      <c r="D2275" s="5">
        <v>1452</v>
      </c>
      <c r="E2275" t="str">
        <f t="shared" si="35"/>
        <v>1211-53934-44760</v>
      </c>
    </row>
    <row r="2276" spans="1:5" ht="14.25" customHeight="1">
      <c r="A2276" s="5">
        <v>1211</v>
      </c>
      <c r="B2276" s="5">
        <v>53934</v>
      </c>
      <c r="C2276" s="17">
        <v>44767</v>
      </c>
      <c r="D2276" s="5">
        <v>1052</v>
      </c>
      <c r="E2276" t="str">
        <f t="shared" si="35"/>
        <v>1211-53934-44767</v>
      </c>
    </row>
    <row r="2277" spans="1:5" ht="14.25" customHeight="1">
      <c r="A2277" s="5">
        <v>1211</v>
      </c>
      <c r="B2277" s="5">
        <v>53934</v>
      </c>
      <c r="C2277" s="17">
        <v>44774</v>
      </c>
      <c r="D2277" s="5">
        <v>1432</v>
      </c>
      <c r="E2277" t="str">
        <f t="shared" si="35"/>
        <v>1211-53934-44774</v>
      </c>
    </row>
    <row r="2278" spans="1:5" ht="14.25" customHeight="1">
      <c r="A2278" s="5">
        <v>1211</v>
      </c>
      <c r="B2278" s="5">
        <v>53934</v>
      </c>
      <c r="C2278" s="17">
        <v>44781</v>
      </c>
      <c r="D2278" s="5">
        <v>1008</v>
      </c>
      <c r="E2278" t="str">
        <f t="shared" si="35"/>
        <v>1211-53934-44781</v>
      </c>
    </row>
    <row r="2279" spans="1:5" ht="14.25" customHeight="1">
      <c r="A2279" s="5">
        <v>1211</v>
      </c>
      <c r="B2279" s="5">
        <v>53934</v>
      </c>
      <c r="C2279" s="17">
        <v>44788</v>
      </c>
      <c r="D2279" s="5">
        <v>1085</v>
      </c>
      <c r="E2279" t="str">
        <f t="shared" si="35"/>
        <v>1211-53934-44788</v>
      </c>
    </row>
    <row r="2280" spans="1:5" ht="14.25" customHeight="1">
      <c r="A2280" s="5">
        <v>1211</v>
      </c>
      <c r="B2280" s="5">
        <v>78699</v>
      </c>
      <c r="C2280" s="17">
        <v>44739</v>
      </c>
      <c r="D2280" s="5">
        <v>19</v>
      </c>
      <c r="E2280" t="str">
        <f t="shared" si="35"/>
        <v>1211-78699-44739</v>
      </c>
    </row>
    <row r="2281" spans="1:5" ht="14.25" customHeight="1">
      <c r="A2281" s="5">
        <v>1211</v>
      </c>
      <c r="B2281" s="5">
        <v>78699</v>
      </c>
      <c r="C2281" s="17">
        <v>44746</v>
      </c>
      <c r="D2281" s="5">
        <v>-1</v>
      </c>
      <c r="E2281" t="str">
        <f t="shared" si="35"/>
        <v>1211-78699-44746</v>
      </c>
    </row>
    <row r="2282" spans="1:5" ht="14.25" customHeight="1">
      <c r="A2282" s="5">
        <v>1211</v>
      </c>
      <c r="B2282" s="5">
        <v>78699</v>
      </c>
      <c r="C2282" s="17">
        <v>44753</v>
      </c>
      <c r="D2282" s="5">
        <v>16</v>
      </c>
      <c r="E2282" t="str">
        <f t="shared" si="35"/>
        <v>1211-78699-44753</v>
      </c>
    </row>
    <row r="2283" spans="1:5" ht="14.25" customHeight="1">
      <c r="A2283" s="5">
        <v>1211</v>
      </c>
      <c r="B2283" s="5">
        <v>78699</v>
      </c>
      <c r="C2283" s="17">
        <v>44760</v>
      </c>
      <c r="D2283" s="5">
        <v>9</v>
      </c>
      <c r="E2283" t="str">
        <f t="shared" si="35"/>
        <v>1211-78699-44760</v>
      </c>
    </row>
    <row r="2284" spans="1:5" ht="14.25" customHeight="1">
      <c r="A2284" s="5">
        <v>1211</v>
      </c>
      <c r="B2284" s="5">
        <v>78699</v>
      </c>
      <c r="C2284" s="17">
        <v>44767</v>
      </c>
      <c r="D2284" s="5">
        <v>11</v>
      </c>
      <c r="E2284" t="str">
        <f t="shared" si="35"/>
        <v>1211-78699-44767</v>
      </c>
    </row>
    <row r="2285" spans="1:5" ht="14.25" customHeight="1">
      <c r="A2285" s="5">
        <v>1211</v>
      </c>
      <c r="B2285" s="5">
        <v>78699</v>
      </c>
      <c r="C2285" s="17">
        <v>44774</v>
      </c>
      <c r="D2285" s="5">
        <v>9</v>
      </c>
      <c r="E2285" t="str">
        <f t="shared" si="35"/>
        <v>1211-78699-44774</v>
      </c>
    </row>
    <row r="2286" spans="1:5" ht="14.25" customHeight="1">
      <c r="A2286" s="5">
        <v>1211</v>
      </c>
      <c r="B2286" s="5">
        <v>78699</v>
      </c>
      <c r="C2286" s="17">
        <v>44781</v>
      </c>
      <c r="D2286" s="5">
        <v>12</v>
      </c>
      <c r="E2286" t="str">
        <f t="shared" si="35"/>
        <v>1211-78699-44781</v>
      </c>
    </row>
    <row r="2287" spans="1:5" ht="14.25" customHeight="1">
      <c r="A2287" s="5">
        <v>1211</v>
      </c>
      <c r="B2287" s="5">
        <v>78699</v>
      </c>
      <c r="C2287" s="17">
        <v>44788</v>
      </c>
      <c r="D2287" s="5">
        <v>10</v>
      </c>
      <c r="E2287" t="str">
        <f t="shared" si="35"/>
        <v>1211-78699-44788</v>
      </c>
    </row>
    <row r="2288" spans="1:5" ht="14.25" customHeight="1">
      <c r="A2288" s="5">
        <v>1211</v>
      </c>
      <c r="B2288" s="5">
        <v>78869</v>
      </c>
      <c r="C2288" s="17">
        <v>44739</v>
      </c>
      <c r="D2288" s="5">
        <v>24</v>
      </c>
      <c r="E2288" t="str">
        <f t="shared" si="35"/>
        <v>1211-78869-44739</v>
      </c>
    </row>
    <row r="2289" spans="1:5" ht="14.25" customHeight="1">
      <c r="A2289" s="5">
        <v>1211</v>
      </c>
      <c r="B2289" s="5">
        <v>78869</v>
      </c>
      <c r="C2289" s="17">
        <v>44746</v>
      </c>
      <c r="D2289" s="5">
        <v>12</v>
      </c>
      <c r="E2289" t="str">
        <f t="shared" si="35"/>
        <v>1211-78869-44746</v>
      </c>
    </row>
    <row r="2290" spans="1:5" ht="14.25" customHeight="1">
      <c r="A2290" s="5">
        <v>1211</v>
      </c>
      <c r="B2290" s="5">
        <v>78869</v>
      </c>
      <c r="C2290" s="17">
        <v>44753</v>
      </c>
      <c r="D2290" s="5">
        <v>30</v>
      </c>
      <c r="E2290" t="str">
        <f t="shared" si="35"/>
        <v>1211-78869-44753</v>
      </c>
    </row>
    <row r="2291" spans="1:5" ht="14.25" customHeight="1">
      <c r="A2291" s="5">
        <v>1211</v>
      </c>
      <c r="B2291" s="5">
        <v>78869</v>
      </c>
      <c r="C2291" s="17">
        <v>44760</v>
      </c>
      <c r="D2291" s="5">
        <v>36</v>
      </c>
      <c r="E2291" t="str">
        <f t="shared" si="35"/>
        <v>1211-78869-44760</v>
      </c>
    </row>
    <row r="2292" spans="1:5" ht="14.25" customHeight="1">
      <c r="A2292" s="5">
        <v>1211</v>
      </c>
      <c r="B2292" s="5">
        <v>78869</v>
      </c>
      <c r="C2292" s="17">
        <v>44767</v>
      </c>
      <c r="D2292" s="5">
        <v>24</v>
      </c>
      <c r="E2292" t="str">
        <f t="shared" si="35"/>
        <v>1211-78869-44767</v>
      </c>
    </row>
    <row r="2293" spans="1:5" ht="14.25" customHeight="1">
      <c r="A2293" s="5">
        <v>1211</v>
      </c>
      <c r="B2293" s="5">
        <v>78869</v>
      </c>
      <c r="C2293" s="17">
        <v>44774</v>
      </c>
      <c r="D2293" s="5">
        <v>28</v>
      </c>
      <c r="E2293" t="str">
        <f t="shared" si="35"/>
        <v>1211-78869-44774</v>
      </c>
    </row>
    <row r="2294" spans="1:5" ht="14.25" customHeight="1">
      <c r="A2294" s="5">
        <v>1211</v>
      </c>
      <c r="B2294" s="5">
        <v>78869</v>
      </c>
      <c r="C2294" s="17">
        <v>44781</v>
      </c>
      <c r="D2294" s="5">
        <v>31</v>
      </c>
      <c r="E2294" t="str">
        <f t="shared" si="35"/>
        <v>1211-78869-44781</v>
      </c>
    </row>
    <row r="2295" spans="1:5" ht="14.25" customHeight="1">
      <c r="A2295" s="5">
        <v>1211</v>
      </c>
      <c r="B2295" s="5">
        <v>78869</v>
      </c>
      <c r="C2295" s="17">
        <v>44788</v>
      </c>
      <c r="D2295" s="5">
        <v>26</v>
      </c>
      <c r="E2295" t="str">
        <f t="shared" si="35"/>
        <v>1211-78869-44788</v>
      </c>
    </row>
    <row r="2296" spans="1:5" ht="14.25" customHeight="1">
      <c r="A2296" s="5">
        <v>1211</v>
      </c>
      <c r="B2296" s="5">
        <v>115600</v>
      </c>
      <c r="C2296" s="17">
        <v>44739</v>
      </c>
      <c r="D2296" s="5">
        <v>25</v>
      </c>
      <c r="E2296" t="str">
        <f t="shared" si="35"/>
        <v>1211-115600-44739</v>
      </c>
    </row>
    <row r="2297" spans="1:5" ht="14.25" customHeight="1">
      <c r="A2297" s="5">
        <v>1211</v>
      </c>
      <c r="B2297" s="5">
        <v>115600</v>
      </c>
      <c r="C2297" s="17">
        <v>44746</v>
      </c>
      <c r="D2297" s="5">
        <v>27</v>
      </c>
      <c r="E2297" t="str">
        <f t="shared" si="35"/>
        <v>1211-115600-44746</v>
      </c>
    </row>
    <row r="2298" spans="1:5" ht="14.25" customHeight="1">
      <c r="A2298" s="5">
        <v>1211</v>
      </c>
      <c r="B2298" s="5">
        <v>115600</v>
      </c>
      <c r="C2298" s="17">
        <v>44753</v>
      </c>
      <c r="D2298" s="5">
        <v>32</v>
      </c>
      <c r="E2298" t="str">
        <f t="shared" si="35"/>
        <v>1211-115600-44753</v>
      </c>
    </row>
    <row r="2299" spans="1:5" ht="14.25" customHeight="1">
      <c r="A2299" s="5">
        <v>1211</v>
      </c>
      <c r="B2299" s="5">
        <v>115600</v>
      </c>
      <c r="C2299" s="17">
        <v>44760</v>
      </c>
      <c r="D2299" s="5">
        <v>32</v>
      </c>
      <c r="E2299" t="str">
        <f t="shared" si="35"/>
        <v>1211-115600-44760</v>
      </c>
    </row>
    <row r="2300" spans="1:5" ht="14.25" customHeight="1">
      <c r="A2300" s="5">
        <v>1211</v>
      </c>
      <c r="B2300" s="5">
        <v>115600</v>
      </c>
      <c r="C2300" s="17">
        <v>44767</v>
      </c>
      <c r="D2300" s="5">
        <v>13</v>
      </c>
      <c r="E2300" t="str">
        <f t="shared" si="35"/>
        <v>1211-115600-44767</v>
      </c>
    </row>
    <row r="2301" spans="1:5" ht="14.25" customHeight="1">
      <c r="A2301" s="5">
        <v>1211</v>
      </c>
      <c r="B2301" s="5">
        <v>115600</v>
      </c>
      <c r="C2301" s="17">
        <v>44774</v>
      </c>
      <c r="D2301" s="5">
        <v>18</v>
      </c>
      <c r="E2301" t="str">
        <f t="shared" si="35"/>
        <v>1211-115600-44774</v>
      </c>
    </row>
    <row r="2302" spans="1:5" ht="14.25" customHeight="1">
      <c r="A2302" s="5">
        <v>1211</v>
      </c>
      <c r="B2302" s="5">
        <v>115600</v>
      </c>
      <c r="C2302" s="17">
        <v>44781</v>
      </c>
      <c r="D2302" s="5">
        <v>18</v>
      </c>
      <c r="E2302" t="str">
        <f t="shared" si="35"/>
        <v>1211-115600-44781</v>
      </c>
    </row>
    <row r="2303" spans="1:5" ht="14.25" customHeight="1">
      <c r="A2303" s="5">
        <v>1211</v>
      </c>
      <c r="B2303" s="5">
        <v>115600</v>
      </c>
      <c r="C2303" s="17">
        <v>44788</v>
      </c>
      <c r="D2303" s="5">
        <v>26</v>
      </c>
      <c r="E2303" t="str">
        <f t="shared" si="35"/>
        <v>1211-115600-44788</v>
      </c>
    </row>
    <row r="2304" spans="1:5" ht="14.25" customHeight="1">
      <c r="A2304" s="5">
        <v>1211</v>
      </c>
      <c r="B2304" s="5">
        <v>129208</v>
      </c>
      <c r="C2304" s="17">
        <v>32874</v>
      </c>
      <c r="D2304" s="5">
        <v>19</v>
      </c>
      <c r="E2304" t="str">
        <f t="shared" si="35"/>
        <v>1211-129208-32874</v>
      </c>
    </row>
    <row r="2305" spans="1:5" ht="14.25" customHeight="1">
      <c r="A2305" s="5">
        <v>1211</v>
      </c>
      <c r="B2305" s="5">
        <v>129208</v>
      </c>
      <c r="C2305" s="17">
        <v>44739</v>
      </c>
      <c r="D2305" s="5">
        <v>80</v>
      </c>
      <c r="E2305" t="str">
        <f t="shared" si="35"/>
        <v>1211-129208-44739</v>
      </c>
    </row>
    <row r="2306" spans="1:5" ht="14.25" customHeight="1">
      <c r="A2306" s="5">
        <v>1211</v>
      </c>
      <c r="B2306" s="5">
        <v>129208</v>
      </c>
      <c r="C2306" s="17">
        <v>44746</v>
      </c>
      <c r="D2306" s="5">
        <v>54</v>
      </c>
      <c r="E2306" t="str">
        <f t="shared" si="35"/>
        <v>1211-129208-44746</v>
      </c>
    </row>
    <row r="2307" spans="1:5" ht="14.25" customHeight="1">
      <c r="A2307" s="5">
        <v>1211</v>
      </c>
      <c r="B2307" s="5">
        <v>129208</v>
      </c>
      <c r="C2307" s="17">
        <v>44753</v>
      </c>
      <c r="D2307" s="5">
        <v>75</v>
      </c>
      <c r="E2307" t="str">
        <f t="shared" ref="E2307:E2370" si="36">A2307&amp;"-"&amp;B2307&amp;"-"&amp;INT(C2307)</f>
        <v>1211-129208-44753</v>
      </c>
    </row>
    <row r="2308" spans="1:5" ht="14.25" customHeight="1">
      <c r="A2308" s="5">
        <v>1211</v>
      </c>
      <c r="B2308" s="5">
        <v>129208</v>
      </c>
      <c r="C2308" s="17">
        <v>44760</v>
      </c>
      <c r="D2308" s="5">
        <v>54</v>
      </c>
      <c r="E2308" t="str">
        <f t="shared" si="36"/>
        <v>1211-129208-44760</v>
      </c>
    </row>
    <row r="2309" spans="1:5" ht="14.25" customHeight="1">
      <c r="A2309" s="5">
        <v>1211</v>
      </c>
      <c r="B2309" s="5">
        <v>129208</v>
      </c>
      <c r="C2309" s="17">
        <v>44767</v>
      </c>
      <c r="D2309" s="5">
        <v>14</v>
      </c>
      <c r="E2309" t="str">
        <f t="shared" si="36"/>
        <v>1211-129208-44767</v>
      </c>
    </row>
    <row r="2310" spans="1:5" ht="14.25" customHeight="1">
      <c r="A2310" s="5">
        <v>1211</v>
      </c>
      <c r="B2310" s="5">
        <v>129208</v>
      </c>
      <c r="C2310" s="17">
        <v>44774</v>
      </c>
      <c r="D2310" s="5">
        <v>71</v>
      </c>
      <c r="E2310" t="str">
        <f t="shared" si="36"/>
        <v>1211-129208-44774</v>
      </c>
    </row>
    <row r="2311" spans="1:5" ht="14.25" customHeight="1">
      <c r="A2311" s="5">
        <v>1211</v>
      </c>
      <c r="B2311" s="5">
        <v>129208</v>
      </c>
      <c r="C2311" s="17">
        <v>44781</v>
      </c>
      <c r="D2311" s="5">
        <v>74</v>
      </c>
      <c r="E2311" t="str">
        <f t="shared" si="36"/>
        <v>1211-129208-44781</v>
      </c>
    </row>
    <row r="2312" spans="1:5" ht="14.25" customHeight="1">
      <c r="A2312" s="5">
        <v>1211</v>
      </c>
      <c r="B2312" s="5">
        <v>129208</v>
      </c>
      <c r="C2312" s="17">
        <v>44788</v>
      </c>
      <c r="D2312" s="5">
        <v>15</v>
      </c>
      <c r="E2312" t="str">
        <f t="shared" si="36"/>
        <v>1211-129208-44788</v>
      </c>
    </row>
    <row r="2313" spans="1:5" ht="14.25" customHeight="1">
      <c r="A2313" s="5">
        <v>1211</v>
      </c>
      <c r="B2313" s="5">
        <v>141622</v>
      </c>
      <c r="C2313" s="17">
        <v>44739</v>
      </c>
      <c r="D2313" s="5">
        <v>25</v>
      </c>
      <c r="E2313" t="str">
        <f t="shared" si="36"/>
        <v>1211-141622-44739</v>
      </c>
    </row>
    <row r="2314" spans="1:5" ht="14.25" customHeight="1">
      <c r="A2314" s="5">
        <v>1211</v>
      </c>
      <c r="B2314" s="5">
        <v>141622</v>
      </c>
      <c r="C2314" s="17">
        <v>44746</v>
      </c>
      <c r="D2314" s="5">
        <v>18</v>
      </c>
      <c r="E2314" t="str">
        <f t="shared" si="36"/>
        <v>1211-141622-44746</v>
      </c>
    </row>
    <row r="2315" spans="1:5" ht="14.25" customHeight="1">
      <c r="A2315" s="5">
        <v>1211</v>
      </c>
      <c r="B2315" s="5">
        <v>141622</v>
      </c>
      <c r="C2315" s="17">
        <v>44753</v>
      </c>
      <c r="D2315" s="5">
        <v>22</v>
      </c>
      <c r="E2315" t="str">
        <f t="shared" si="36"/>
        <v>1211-141622-44753</v>
      </c>
    </row>
    <row r="2316" spans="1:5" ht="14.25" customHeight="1">
      <c r="A2316" s="5">
        <v>1211</v>
      </c>
      <c r="B2316" s="5">
        <v>141622</v>
      </c>
      <c r="C2316" s="17">
        <v>44760</v>
      </c>
      <c r="D2316" s="5">
        <v>14</v>
      </c>
      <c r="E2316" t="str">
        <f t="shared" si="36"/>
        <v>1211-141622-44760</v>
      </c>
    </row>
    <row r="2317" spans="1:5" ht="14.25" customHeight="1">
      <c r="A2317" s="4">
        <v>1211</v>
      </c>
      <c r="B2317" s="4">
        <v>141622</v>
      </c>
      <c r="C2317" s="17">
        <v>44767</v>
      </c>
      <c r="D2317" s="4">
        <v>24</v>
      </c>
      <c r="E2317" t="str">
        <f t="shared" si="36"/>
        <v>1211-141622-44767</v>
      </c>
    </row>
    <row r="2318" spans="1:5" ht="14.25" customHeight="1">
      <c r="A2318" s="4">
        <v>1211</v>
      </c>
      <c r="B2318" s="4">
        <v>141622</v>
      </c>
      <c r="C2318" s="17">
        <v>44774</v>
      </c>
      <c r="D2318" s="4">
        <v>22</v>
      </c>
      <c r="E2318" t="str">
        <f t="shared" si="36"/>
        <v>1211-141622-44774</v>
      </c>
    </row>
    <row r="2319" spans="1:5" ht="14.25" customHeight="1">
      <c r="A2319" s="4">
        <v>1211</v>
      </c>
      <c r="B2319" s="4">
        <v>141622</v>
      </c>
      <c r="C2319" s="17">
        <v>44781</v>
      </c>
      <c r="D2319" s="4">
        <v>16</v>
      </c>
      <c r="E2319" t="str">
        <f t="shared" si="36"/>
        <v>1211-141622-44781</v>
      </c>
    </row>
    <row r="2320" spans="1:5" ht="14.25" customHeight="1">
      <c r="A2320" s="4">
        <v>1211</v>
      </c>
      <c r="B2320" s="4">
        <v>141622</v>
      </c>
      <c r="C2320" s="17">
        <v>44788</v>
      </c>
      <c r="D2320" s="4">
        <v>23</v>
      </c>
      <c r="E2320" t="str">
        <f t="shared" si="36"/>
        <v>1211-141622-44788</v>
      </c>
    </row>
    <row r="2321" spans="1:5" ht="14.25" customHeight="1">
      <c r="A2321" s="4">
        <v>1211</v>
      </c>
      <c r="B2321" s="4">
        <v>141626</v>
      </c>
      <c r="C2321" s="17">
        <v>44739</v>
      </c>
      <c r="D2321" s="4">
        <v>110</v>
      </c>
      <c r="E2321" t="str">
        <f t="shared" si="36"/>
        <v>1211-141626-44739</v>
      </c>
    </row>
    <row r="2322" spans="1:5" ht="14.25" customHeight="1">
      <c r="A2322" s="4">
        <v>1211</v>
      </c>
      <c r="B2322" s="4">
        <v>141626</v>
      </c>
      <c r="C2322" s="17">
        <v>44746</v>
      </c>
      <c r="D2322" s="4">
        <v>138</v>
      </c>
      <c r="E2322" t="str">
        <f t="shared" si="36"/>
        <v>1211-141626-44746</v>
      </c>
    </row>
    <row r="2323" spans="1:5" ht="14.25" customHeight="1">
      <c r="A2323" s="4">
        <v>1211</v>
      </c>
      <c r="B2323" s="4">
        <v>141626</v>
      </c>
      <c r="C2323" s="17">
        <v>44753</v>
      </c>
      <c r="D2323" s="4">
        <v>112</v>
      </c>
      <c r="E2323" t="str">
        <f t="shared" si="36"/>
        <v>1211-141626-44753</v>
      </c>
    </row>
    <row r="2324" spans="1:5" ht="14.25" customHeight="1">
      <c r="A2324" s="4">
        <v>1211</v>
      </c>
      <c r="B2324" s="4">
        <v>141626</v>
      </c>
      <c r="C2324" s="17">
        <v>44760</v>
      </c>
      <c r="D2324" s="4">
        <v>96</v>
      </c>
      <c r="E2324" t="str">
        <f t="shared" si="36"/>
        <v>1211-141626-44760</v>
      </c>
    </row>
    <row r="2325" spans="1:5" ht="14.25" customHeight="1">
      <c r="A2325" s="4">
        <v>1211</v>
      </c>
      <c r="B2325" s="4">
        <v>141626</v>
      </c>
      <c r="C2325" s="17">
        <v>44767</v>
      </c>
      <c r="D2325" s="4">
        <v>53</v>
      </c>
      <c r="E2325" t="str">
        <f t="shared" si="36"/>
        <v>1211-141626-44767</v>
      </c>
    </row>
    <row r="2326" spans="1:5" ht="14.25" customHeight="1">
      <c r="A2326" s="4">
        <v>1211</v>
      </c>
      <c r="B2326" s="4">
        <v>141626</v>
      </c>
      <c r="C2326" s="17">
        <v>44774</v>
      </c>
      <c r="D2326" s="4">
        <v>116</v>
      </c>
      <c r="E2326" t="str">
        <f t="shared" si="36"/>
        <v>1211-141626-44774</v>
      </c>
    </row>
    <row r="2327" spans="1:5" ht="14.25" customHeight="1">
      <c r="A2327" s="4">
        <v>1211</v>
      </c>
      <c r="B2327" s="4">
        <v>141626</v>
      </c>
      <c r="C2327" s="17">
        <v>44781</v>
      </c>
      <c r="D2327" s="4">
        <v>124</v>
      </c>
      <c r="E2327" t="str">
        <f t="shared" si="36"/>
        <v>1211-141626-44781</v>
      </c>
    </row>
    <row r="2328" spans="1:5" ht="14.25" customHeight="1">
      <c r="A2328" s="4">
        <v>1211</v>
      </c>
      <c r="B2328" s="4">
        <v>141626</v>
      </c>
      <c r="C2328" s="17">
        <v>44788</v>
      </c>
      <c r="D2328" s="4">
        <v>102</v>
      </c>
      <c r="E2328" t="str">
        <f t="shared" si="36"/>
        <v>1211-141626-44788</v>
      </c>
    </row>
    <row r="2329" spans="1:5" ht="14.25" customHeight="1">
      <c r="A2329" s="4">
        <v>1211</v>
      </c>
      <c r="B2329" s="4">
        <v>141791</v>
      </c>
      <c r="C2329" s="17">
        <v>44739</v>
      </c>
      <c r="D2329" s="4">
        <v>6</v>
      </c>
      <c r="E2329" t="str">
        <f t="shared" si="36"/>
        <v>1211-141791-44739</v>
      </c>
    </row>
    <row r="2330" spans="1:5" ht="14.25" customHeight="1">
      <c r="A2330" s="4">
        <v>1211</v>
      </c>
      <c r="B2330" s="4">
        <v>141791</v>
      </c>
      <c r="C2330" s="17">
        <v>44746</v>
      </c>
      <c r="D2330" s="4">
        <v>6</v>
      </c>
      <c r="E2330" t="str">
        <f t="shared" si="36"/>
        <v>1211-141791-44746</v>
      </c>
    </row>
    <row r="2331" spans="1:5" ht="14.25" customHeight="1">
      <c r="A2331" s="4">
        <v>1211</v>
      </c>
      <c r="B2331" s="4">
        <v>141791</v>
      </c>
      <c r="C2331" s="17">
        <v>44753</v>
      </c>
      <c r="D2331" s="4">
        <v>6</v>
      </c>
      <c r="E2331" t="str">
        <f t="shared" si="36"/>
        <v>1211-141791-44753</v>
      </c>
    </row>
    <row r="2332" spans="1:5" ht="14.25" customHeight="1">
      <c r="A2332" s="4">
        <v>1211</v>
      </c>
      <c r="B2332" s="4">
        <v>141791</v>
      </c>
      <c r="C2332" s="17">
        <v>44760</v>
      </c>
      <c r="D2332" s="4">
        <v>6</v>
      </c>
      <c r="E2332" t="str">
        <f t="shared" si="36"/>
        <v>1211-141791-44760</v>
      </c>
    </row>
    <row r="2333" spans="1:5" ht="14.25" customHeight="1">
      <c r="A2333" s="4">
        <v>1211</v>
      </c>
      <c r="B2333" s="4">
        <v>141791</v>
      </c>
      <c r="C2333" s="17">
        <v>44767</v>
      </c>
      <c r="D2333" s="4">
        <v>6</v>
      </c>
      <c r="E2333" t="str">
        <f t="shared" si="36"/>
        <v>1211-141791-44767</v>
      </c>
    </row>
    <row r="2334" spans="1:5" ht="14.25" customHeight="1">
      <c r="A2334" s="4">
        <v>1211</v>
      </c>
      <c r="B2334" s="4">
        <v>141791</v>
      </c>
      <c r="C2334" s="17">
        <v>44774</v>
      </c>
      <c r="D2334" s="4">
        <v>6</v>
      </c>
      <c r="E2334" t="str">
        <f t="shared" si="36"/>
        <v>1211-141791-44774</v>
      </c>
    </row>
    <row r="2335" spans="1:5" ht="14.25" customHeight="1">
      <c r="A2335" s="4">
        <v>1211</v>
      </c>
      <c r="B2335" s="4">
        <v>141791</v>
      </c>
      <c r="C2335" s="17">
        <v>44781</v>
      </c>
      <c r="D2335" s="4">
        <v>6</v>
      </c>
      <c r="E2335" t="str">
        <f t="shared" si="36"/>
        <v>1211-141791-44781</v>
      </c>
    </row>
    <row r="2336" spans="1:5" ht="14.25" customHeight="1">
      <c r="A2336" s="4">
        <v>1211</v>
      </c>
      <c r="B2336" s="4">
        <v>141791</v>
      </c>
      <c r="C2336" s="17">
        <v>44788</v>
      </c>
      <c r="D2336" s="4">
        <v>6</v>
      </c>
      <c r="E2336" t="str">
        <f t="shared" si="36"/>
        <v>1211-141791-44788</v>
      </c>
    </row>
    <row r="2337" spans="1:5" ht="14.25" customHeight="1">
      <c r="A2337" s="4">
        <v>1211</v>
      </c>
      <c r="B2337" s="4">
        <v>141846</v>
      </c>
      <c r="C2337" s="17">
        <v>44739</v>
      </c>
      <c r="D2337" s="4">
        <v>8</v>
      </c>
      <c r="E2337" t="str">
        <f t="shared" si="36"/>
        <v>1211-141846-44739</v>
      </c>
    </row>
    <row r="2338" spans="1:5" ht="14.25" customHeight="1">
      <c r="A2338" s="4">
        <v>1211</v>
      </c>
      <c r="B2338" s="4">
        <v>141846</v>
      </c>
      <c r="C2338" s="17">
        <v>44746</v>
      </c>
      <c r="D2338" s="4">
        <v>10</v>
      </c>
      <c r="E2338" t="str">
        <f t="shared" si="36"/>
        <v>1211-141846-44746</v>
      </c>
    </row>
    <row r="2339" spans="1:5" ht="14.25" customHeight="1">
      <c r="A2339" s="4">
        <v>1211</v>
      </c>
      <c r="B2339" s="4">
        <v>141846</v>
      </c>
      <c r="C2339" s="17">
        <v>44753</v>
      </c>
      <c r="D2339" s="4">
        <v>9</v>
      </c>
      <c r="E2339" t="str">
        <f t="shared" si="36"/>
        <v>1211-141846-44753</v>
      </c>
    </row>
    <row r="2340" spans="1:5" ht="14.25" customHeight="1">
      <c r="A2340" s="4">
        <v>1211</v>
      </c>
      <c r="B2340" s="4">
        <v>141846</v>
      </c>
      <c r="C2340" s="17">
        <v>44760</v>
      </c>
      <c r="D2340" s="4">
        <v>8</v>
      </c>
      <c r="E2340" t="str">
        <f t="shared" si="36"/>
        <v>1211-141846-44760</v>
      </c>
    </row>
    <row r="2341" spans="1:5" ht="14.25" customHeight="1">
      <c r="A2341" s="4">
        <v>1211</v>
      </c>
      <c r="B2341" s="4">
        <v>141846</v>
      </c>
      <c r="C2341" s="17">
        <v>44767</v>
      </c>
      <c r="D2341" s="4">
        <v>6</v>
      </c>
      <c r="E2341" t="str">
        <f t="shared" si="36"/>
        <v>1211-141846-44767</v>
      </c>
    </row>
    <row r="2342" spans="1:5" ht="14.25" customHeight="1">
      <c r="A2342" s="4">
        <v>1211</v>
      </c>
      <c r="B2342" s="4">
        <v>141846</v>
      </c>
      <c r="C2342" s="17">
        <v>44774</v>
      </c>
      <c r="D2342" s="4">
        <v>5</v>
      </c>
      <c r="E2342" t="str">
        <f t="shared" si="36"/>
        <v>1211-141846-44774</v>
      </c>
    </row>
    <row r="2343" spans="1:5" ht="14.25" customHeight="1">
      <c r="A2343" s="4">
        <v>1211</v>
      </c>
      <c r="B2343" s="4">
        <v>141846</v>
      </c>
      <c r="C2343" s="17">
        <v>44781</v>
      </c>
      <c r="D2343" s="4">
        <v>5</v>
      </c>
      <c r="E2343" t="str">
        <f t="shared" si="36"/>
        <v>1211-141846-44781</v>
      </c>
    </row>
    <row r="2344" spans="1:5" ht="14.25" customHeight="1">
      <c r="A2344" s="4">
        <v>1211</v>
      </c>
      <c r="B2344" s="4">
        <v>141846</v>
      </c>
      <c r="C2344" s="17">
        <v>44788</v>
      </c>
      <c r="D2344" s="4">
        <v>8</v>
      </c>
      <c r="E2344" t="str">
        <f t="shared" si="36"/>
        <v>1211-141846-44788</v>
      </c>
    </row>
    <row r="2345" spans="1:5" ht="14.25" customHeight="1">
      <c r="A2345" s="4">
        <v>1211</v>
      </c>
      <c r="B2345" s="4">
        <v>141967</v>
      </c>
      <c r="C2345" s="17">
        <v>44739</v>
      </c>
      <c r="D2345" s="4">
        <v>1</v>
      </c>
      <c r="E2345" t="str">
        <f t="shared" si="36"/>
        <v>1211-141967-44739</v>
      </c>
    </row>
    <row r="2346" spans="1:5" ht="14.25" customHeight="1">
      <c r="A2346" s="4">
        <v>1211</v>
      </c>
      <c r="B2346" s="4">
        <v>141967</v>
      </c>
      <c r="C2346" s="17">
        <v>44746</v>
      </c>
      <c r="D2346" s="4">
        <v>12</v>
      </c>
      <c r="E2346" t="str">
        <f t="shared" si="36"/>
        <v>1211-141967-44746</v>
      </c>
    </row>
    <row r="2347" spans="1:5" ht="14.25" customHeight="1">
      <c r="A2347" s="4">
        <v>1211</v>
      </c>
      <c r="B2347" s="4">
        <v>141967</v>
      </c>
      <c r="C2347" s="17">
        <v>44753</v>
      </c>
      <c r="D2347" s="4">
        <v>19</v>
      </c>
      <c r="E2347" t="str">
        <f t="shared" si="36"/>
        <v>1211-141967-44753</v>
      </c>
    </row>
    <row r="2348" spans="1:5" ht="14.25" customHeight="1">
      <c r="A2348" s="4">
        <v>1211</v>
      </c>
      <c r="B2348" s="4">
        <v>141967</v>
      </c>
      <c r="C2348" s="17">
        <v>44760</v>
      </c>
      <c r="D2348" s="4">
        <v>16</v>
      </c>
      <c r="E2348" t="str">
        <f t="shared" si="36"/>
        <v>1211-141967-44760</v>
      </c>
    </row>
    <row r="2349" spans="1:5" ht="14.25" customHeight="1">
      <c r="A2349" s="4">
        <v>1211</v>
      </c>
      <c r="B2349" s="4">
        <v>141967</v>
      </c>
      <c r="C2349" s="17">
        <v>44767</v>
      </c>
      <c r="D2349" s="4">
        <v>1</v>
      </c>
      <c r="E2349" t="str">
        <f t="shared" si="36"/>
        <v>1211-141967-44767</v>
      </c>
    </row>
    <row r="2350" spans="1:5" ht="14.25" customHeight="1">
      <c r="A2350" s="4">
        <v>1211</v>
      </c>
      <c r="B2350" s="4">
        <v>141967</v>
      </c>
      <c r="C2350" s="17">
        <v>44774</v>
      </c>
      <c r="D2350" s="4">
        <v>19</v>
      </c>
      <c r="E2350" t="str">
        <f t="shared" si="36"/>
        <v>1211-141967-44774</v>
      </c>
    </row>
    <row r="2351" spans="1:5" ht="14.25" customHeight="1">
      <c r="A2351" s="4">
        <v>1211</v>
      </c>
      <c r="B2351" s="4">
        <v>141967</v>
      </c>
      <c r="C2351" s="17">
        <v>44781</v>
      </c>
      <c r="D2351" s="4">
        <v>12</v>
      </c>
      <c r="E2351" t="str">
        <f t="shared" si="36"/>
        <v>1211-141967-44781</v>
      </c>
    </row>
    <row r="2352" spans="1:5" ht="14.25" customHeight="1">
      <c r="A2352" s="4">
        <v>1211</v>
      </c>
      <c r="B2352" s="4">
        <v>141967</v>
      </c>
      <c r="C2352" s="17">
        <v>44788</v>
      </c>
      <c r="D2352" s="4">
        <v>12</v>
      </c>
      <c r="E2352" t="str">
        <f t="shared" si="36"/>
        <v>1211-141967-44788</v>
      </c>
    </row>
    <row r="2353" spans="1:5" ht="14.25" customHeight="1">
      <c r="A2353" s="4">
        <v>1211</v>
      </c>
      <c r="B2353" s="4">
        <v>142194</v>
      </c>
      <c r="C2353" s="17">
        <v>44739</v>
      </c>
      <c r="D2353" s="4">
        <v>6</v>
      </c>
      <c r="E2353" t="str">
        <f t="shared" si="36"/>
        <v>1211-142194-44739</v>
      </c>
    </row>
    <row r="2354" spans="1:5" ht="14.25" customHeight="1">
      <c r="A2354" s="4">
        <v>1211</v>
      </c>
      <c r="B2354" s="4">
        <v>142194</v>
      </c>
      <c r="C2354" s="17">
        <v>44746</v>
      </c>
      <c r="D2354" s="4">
        <v>6</v>
      </c>
      <c r="E2354" t="str">
        <f t="shared" si="36"/>
        <v>1211-142194-44746</v>
      </c>
    </row>
    <row r="2355" spans="1:5" ht="14.25" customHeight="1">
      <c r="A2355" s="4">
        <v>1211</v>
      </c>
      <c r="B2355" s="4">
        <v>142194</v>
      </c>
      <c r="C2355" s="17">
        <v>44753</v>
      </c>
      <c r="D2355" s="4">
        <v>6</v>
      </c>
      <c r="E2355" t="str">
        <f t="shared" si="36"/>
        <v>1211-142194-44753</v>
      </c>
    </row>
    <row r="2356" spans="1:5" ht="14.25" customHeight="1">
      <c r="A2356" s="4">
        <v>1211</v>
      </c>
      <c r="B2356" s="4">
        <v>142194</v>
      </c>
      <c r="C2356" s="17">
        <v>44760</v>
      </c>
      <c r="D2356" s="4">
        <v>6</v>
      </c>
      <c r="E2356" t="str">
        <f t="shared" si="36"/>
        <v>1211-142194-44760</v>
      </c>
    </row>
    <row r="2357" spans="1:5" ht="14.25" customHeight="1">
      <c r="A2357" s="4">
        <v>1211</v>
      </c>
      <c r="B2357" s="4">
        <v>142194</v>
      </c>
      <c r="C2357" s="17">
        <v>44767</v>
      </c>
      <c r="D2357" s="4">
        <v>6</v>
      </c>
      <c r="E2357" t="str">
        <f t="shared" si="36"/>
        <v>1211-142194-44767</v>
      </c>
    </row>
    <row r="2358" spans="1:5" ht="14.25" customHeight="1">
      <c r="A2358" s="4">
        <v>1211</v>
      </c>
      <c r="B2358" s="4">
        <v>142194</v>
      </c>
      <c r="C2358" s="17">
        <v>44774</v>
      </c>
      <c r="D2358" s="4">
        <v>6</v>
      </c>
      <c r="E2358" t="str">
        <f t="shared" si="36"/>
        <v>1211-142194-44774</v>
      </c>
    </row>
    <row r="2359" spans="1:5" ht="14.25" customHeight="1">
      <c r="A2359" s="4">
        <v>1211</v>
      </c>
      <c r="B2359" s="4">
        <v>142194</v>
      </c>
      <c r="C2359" s="17">
        <v>44781</v>
      </c>
      <c r="D2359" s="4">
        <v>6</v>
      </c>
      <c r="E2359" t="str">
        <f t="shared" si="36"/>
        <v>1211-142194-44781</v>
      </c>
    </row>
    <row r="2360" spans="1:5" ht="14.25" customHeight="1">
      <c r="A2360" s="4">
        <v>1211</v>
      </c>
      <c r="B2360" s="4">
        <v>142194</v>
      </c>
      <c r="C2360" s="17">
        <v>44788</v>
      </c>
      <c r="D2360" s="4">
        <v>6</v>
      </c>
      <c r="E2360" t="str">
        <f t="shared" si="36"/>
        <v>1211-142194-44788</v>
      </c>
    </row>
    <row r="2361" spans="1:5" ht="14.25" customHeight="1">
      <c r="A2361" s="4">
        <v>1211</v>
      </c>
      <c r="B2361" s="4">
        <v>149729</v>
      </c>
      <c r="C2361" s="17">
        <v>44739</v>
      </c>
      <c r="D2361" s="4">
        <v>14</v>
      </c>
      <c r="E2361" t="str">
        <f t="shared" si="36"/>
        <v>1211-149729-44739</v>
      </c>
    </row>
    <row r="2362" spans="1:5" ht="14.25" customHeight="1">
      <c r="A2362" s="4">
        <v>1211</v>
      </c>
      <c r="B2362" s="4">
        <v>149729</v>
      </c>
      <c r="C2362" s="17">
        <v>44746</v>
      </c>
      <c r="D2362" s="4">
        <v>31</v>
      </c>
      <c r="E2362" t="str">
        <f t="shared" si="36"/>
        <v>1211-149729-44746</v>
      </c>
    </row>
    <row r="2363" spans="1:5" ht="14.25" customHeight="1">
      <c r="A2363" s="4">
        <v>1211</v>
      </c>
      <c r="B2363" s="4">
        <v>149729</v>
      </c>
      <c r="C2363" s="17">
        <v>44753</v>
      </c>
      <c r="D2363" s="4">
        <v>30</v>
      </c>
      <c r="E2363" t="str">
        <f t="shared" si="36"/>
        <v>1211-149729-44753</v>
      </c>
    </row>
    <row r="2364" spans="1:5" ht="14.25" customHeight="1">
      <c r="A2364" s="4">
        <v>1211</v>
      </c>
      <c r="B2364" s="4">
        <v>149729</v>
      </c>
      <c r="C2364" s="17">
        <v>44760</v>
      </c>
      <c r="D2364" s="4">
        <v>33</v>
      </c>
      <c r="E2364" t="str">
        <f t="shared" si="36"/>
        <v>1211-149729-44760</v>
      </c>
    </row>
    <row r="2365" spans="1:5" ht="14.25" customHeight="1">
      <c r="A2365" s="4">
        <v>1211</v>
      </c>
      <c r="B2365" s="4">
        <v>149729</v>
      </c>
      <c r="C2365" s="17">
        <v>44767</v>
      </c>
      <c r="D2365" s="4">
        <v>16</v>
      </c>
      <c r="E2365" t="str">
        <f t="shared" si="36"/>
        <v>1211-149729-44767</v>
      </c>
    </row>
    <row r="2366" spans="1:5" ht="14.25" customHeight="1">
      <c r="A2366" s="4">
        <v>1211</v>
      </c>
      <c r="B2366" s="4">
        <v>149729</v>
      </c>
      <c r="C2366" s="17">
        <v>44774</v>
      </c>
      <c r="D2366" s="4">
        <v>17</v>
      </c>
      <c r="E2366" t="str">
        <f t="shared" si="36"/>
        <v>1211-149729-44774</v>
      </c>
    </row>
    <row r="2367" spans="1:5" ht="14.25" customHeight="1">
      <c r="A2367" s="4">
        <v>1211</v>
      </c>
      <c r="B2367" s="4">
        <v>149729</v>
      </c>
      <c r="C2367" s="17">
        <v>44781</v>
      </c>
      <c r="D2367" s="4">
        <v>33</v>
      </c>
      <c r="E2367" t="str">
        <f t="shared" si="36"/>
        <v>1211-149729-44781</v>
      </c>
    </row>
    <row r="2368" spans="1:5" ht="14.25" customHeight="1">
      <c r="A2368" s="4">
        <v>1211</v>
      </c>
      <c r="B2368" s="4">
        <v>149729</v>
      </c>
      <c r="C2368" s="17">
        <v>44788</v>
      </c>
      <c r="D2368" s="4">
        <v>33</v>
      </c>
      <c r="E2368" t="str">
        <f t="shared" si="36"/>
        <v>1211-149729-44788</v>
      </c>
    </row>
    <row r="2369" spans="1:5" ht="14.25" customHeight="1">
      <c r="A2369" s="4">
        <v>1211</v>
      </c>
      <c r="B2369" s="4">
        <v>149779</v>
      </c>
      <c r="C2369" s="17">
        <v>44739</v>
      </c>
      <c r="D2369" s="4">
        <v>15</v>
      </c>
      <c r="E2369" t="str">
        <f t="shared" si="36"/>
        <v>1211-149779-44739</v>
      </c>
    </row>
    <row r="2370" spans="1:5" ht="14.25" customHeight="1">
      <c r="A2370" s="4">
        <v>1211</v>
      </c>
      <c r="B2370" s="4">
        <v>149779</v>
      </c>
      <c r="C2370" s="17">
        <v>44746</v>
      </c>
      <c r="D2370" s="4">
        <v>58</v>
      </c>
      <c r="E2370" t="str">
        <f t="shared" si="36"/>
        <v>1211-149779-44746</v>
      </c>
    </row>
    <row r="2371" spans="1:5" ht="14.25" customHeight="1">
      <c r="A2371" s="4">
        <v>1211</v>
      </c>
      <c r="B2371" s="4">
        <v>149779</v>
      </c>
      <c r="C2371" s="17">
        <v>44753</v>
      </c>
      <c r="D2371" s="4">
        <v>15</v>
      </c>
      <c r="E2371" t="str">
        <f t="shared" ref="E2371:E2434" si="37">A2371&amp;"-"&amp;B2371&amp;"-"&amp;INT(C2371)</f>
        <v>1211-149779-44753</v>
      </c>
    </row>
    <row r="2372" spans="1:5" ht="14.25" customHeight="1">
      <c r="A2372" s="4">
        <v>1211</v>
      </c>
      <c r="B2372" s="4">
        <v>149779</v>
      </c>
      <c r="C2372" s="17">
        <v>44760</v>
      </c>
      <c r="D2372" s="4">
        <v>24</v>
      </c>
      <c r="E2372" t="str">
        <f t="shared" si="37"/>
        <v>1211-149779-44760</v>
      </c>
    </row>
    <row r="2373" spans="1:5" ht="14.25" customHeight="1">
      <c r="A2373" s="4">
        <v>1211</v>
      </c>
      <c r="B2373" s="4">
        <v>149779</v>
      </c>
      <c r="C2373" s="17">
        <v>44767</v>
      </c>
      <c r="D2373" s="4">
        <v>50</v>
      </c>
      <c r="E2373" t="str">
        <f t="shared" si="37"/>
        <v>1211-149779-44767</v>
      </c>
    </row>
    <row r="2374" spans="1:5" ht="14.25" customHeight="1">
      <c r="A2374" s="4">
        <v>1211</v>
      </c>
      <c r="B2374" s="4">
        <v>149779</v>
      </c>
      <c r="C2374" s="17">
        <v>44774</v>
      </c>
      <c r="D2374" s="4">
        <v>56</v>
      </c>
      <c r="E2374" t="str">
        <f t="shared" si="37"/>
        <v>1211-149779-44774</v>
      </c>
    </row>
    <row r="2375" spans="1:5" ht="14.25" customHeight="1">
      <c r="A2375" s="4">
        <v>1211</v>
      </c>
      <c r="B2375" s="4">
        <v>149779</v>
      </c>
      <c r="C2375" s="17">
        <v>44781</v>
      </c>
      <c r="D2375" s="4">
        <v>54</v>
      </c>
      <c r="E2375" t="str">
        <f t="shared" si="37"/>
        <v>1211-149779-44781</v>
      </c>
    </row>
    <row r="2376" spans="1:5" ht="14.25" customHeight="1">
      <c r="A2376" s="4">
        <v>1211</v>
      </c>
      <c r="B2376" s="4">
        <v>149779</v>
      </c>
      <c r="C2376" s="17">
        <v>44788</v>
      </c>
      <c r="D2376" s="4">
        <v>48</v>
      </c>
      <c r="E2376" t="str">
        <f t="shared" si="37"/>
        <v>1211-149779-44788</v>
      </c>
    </row>
    <row r="2377" spans="1:5" ht="14.25" customHeight="1">
      <c r="A2377" s="4">
        <v>1211</v>
      </c>
      <c r="B2377" s="4">
        <v>189933</v>
      </c>
      <c r="C2377" s="17">
        <v>44739</v>
      </c>
      <c r="D2377" s="4">
        <v>41</v>
      </c>
      <c r="E2377" t="str">
        <f t="shared" si="37"/>
        <v>1211-189933-44739</v>
      </c>
    </row>
    <row r="2378" spans="1:5" ht="14.25" customHeight="1">
      <c r="A2378" s="4">
        <v>1211</v>
      </c>
      <c r="B2378" s="4">
        <v>189933</v>
      </c>
      <c r="C2378" s="17">
        <v>44746</v>
      </c>
      <c r="D2378" s="4">
        <v>40</v>
      </c>
      <c r="E2378" t="str">
        <f t="shared" si="37"/>
        <v>1211-189933-44746</v>
      </c>
    </row>
    <row r="2379" spans="1:5" ht="14.25" customHeight="1">
      <c r="A2379" s="4">
        <v>1211</v>
      </c>
      <c r="B2379" s="4">
        <v>189933</v>
      </c>
      <c r="C2379" s="17">
        <v>44753</v>
      </c>
      <c r="D2379" s="4">
        <v>20</v>
      </c>
      <c r="E2379" t="str">
        <f t="shared" si="37"/>
        <v>1211-189933-44753</v>
      </c>
    </row>
    <row r="2380" spans="1:5" ht="14.25" customHeight="1">
      <c r="A2380" s="4">
        <v>1211</v>
      </c>
      <c r="B2380" s="4">
        <v>189933</v>
      </c>
      <c r="C2380" s="17">
        <v>44760</v>
      </c>
      <c r="D2380" s="4">
        <v>54</v>
      </c>
      <c r="E2380" t="str">
        <f t="shared" si="37"/>
        <v>1211-189933-44760</v>
      </c>
    </row>
    <row r="2381" spans="1:5" ht="14.25" customHeight="1">
      <c r="A2381" s="4">
        <v>1211</v>
      </c>
      <c r="B2381" s="4">
        <v>189933</v>
      </c>
      <c r="C2381" s="17">
        <v>44767</v>
      </c>
      <c r="D2381" s="4">
        <v>52</v>
      </c>
      <c r="E2381" t="str">
        <f t="shared" si="37"/>
        <v>1211-189933-44767</v>
      </c>
    </row>
    <row r="2382" spans="1:5" ht="14.25" customHeight="1">
      <c r="A2382" s="4">
        <v>1211</v>
      </c>
      <c r="B2382" s="4">
        <v>189933</v>
      </c>
      <c r="C2382" s="17">
        <v>44774</v>
      </c>
      <c r="D2382" s="4">
        <v>55</v>
      </c>
      <c r="E2382" t="str">
        <f t="shared" si="37"/>
        <v>1211-189933-44774</v>
      </c>
    </row>
    <row r="2383" spans="1:5" ht="14.25" customHeight="1">
      <c r="A2383" s="4">
        <v>1211</v>
      </c>
      <c r="B2383" s="4">
        <v>189933</v>
      </c>
      <c r="C2383" s="17">
        <v>44781</v>
      </c>
      <c r="D2383" s="4">
        <v>42</v>
      </c>
      <c r="E2383" t="str">
        <f t="shared" si="37"/>
        <v>1211-189933-44781</v>
      </c>
    </row>
    <row r="2384" spans="1:5" ht="14.25" customHeight="1">
      <c r="A2384" s="4">
        <v>1211</v>
      </c>
      <c r="B2384" s="4">
        <v>189933</v>
      </c>
      <c r="C2384" s="17">
        <v>44788</v>
      </c>
      <c r="D2384" s="4">
        <v>17</v>
      </c>
      <c r="E2384" t="str">
        <f t="shared" si="37"/>
        <v>1211-189933-44788</v>
      </c>
    </row>
    <row r="2385" spans="1:5" ht="14.25" customHeight="1">
      <c r="A2385" s="4">
        <v>1211</v>
      </c>
      <c r="B2385" s="4">
        <v>202577</v>
      </c>
      <c r="C2385" s="17">
        <v>44739</v>
      </c>
      <c r="D2385" s="4">
        <v>15</v>
      </c>
      <c r="E2385" t="str">
        <f t="shared" si="37"/>
        <v>1211-202577-44739</v>
      </c>
    </row>
    <row r="2386" spans="1:5" ht="14.25" customHeight="1">
      <c r="A2386" s="4">
        <v>1211</v>
      </c>
      <c r="B2386" s="4">
        <v>202577</v>
      </c>
      <c r="C2386" s="17">
        <v>44746</v>
      </c>
      <c r="D2386" s="4">
        <v>15</v>
      </c>
      <c r="E2386" t="str">
        <f t="shared" si="37"/>
        <v>1211-202577-44746</v>
      </c>
    </row>
    <row r="2387" spans="1:5" ht="14.25" customHeight="1">
      <c r="A2387" s="4">
        <v>1211</v>
      </c>
      <c r="B2387" s="4">
        <v>202577</v>
      </c>
      <c r="C2387" s="17">
        <v>44753</v>
      </c>
      <c r="D2387" s="4">
        <v>15</v>
      </c>
      <c r="E2387" t="str">
        <f t="shared" si="37"/>
        <v>1211-202577-44753</v>
      </c>
    </row>
    <row r="2388" spans="1:5" ht="14.25" customHeight="1">
      <c r="A2388" s="4">
        <v>1211</v>
      </c>
      <c r="B2388" s="4">
        <v>202577</v>
      </c>
      <c r="C2388" s="17">
        <v>44760</v>
      </c>
      <c r="D2388" s="4">
        <v>15</v>
      </c>
      <c r="E2388" t="str">
        <f t="shared" si="37"/>
        <v>1211-202577-44760</v>
      </c>
    </row>
    <row r="2389" spans="1:5" ht="14.25" customHeight="1">
      <c r="A2389" s="4">
        <v>1211</v>
      </c>
      <c r="B2389" s="4">
        <v>202577</v>
      </c>
      <c r="C2389" s="17">
        <v>44767</v>
      </c>
      <c r="D2389" s="4">
        <v>15</v>
      </c>
      <c r="E2389" t="str">
        <f t="shared" si="37"/>
        <v>1211-202577-44767</v>
      </c>
    </row>
    <row r="2390" spans="1:5" ht="14.25" customHeight="1">
      <c r="A2390" s="4">
        <v>1211</v>
      </c>
      <c r="B2390" s="4">
        <v>202577</v>
      </c>
      <c r="C2390" s="17">
        <v>44774</v>
      </c>
      <c r="D2390" s="4">
        <v>15</v>
      </c>
      <c r="E2390" t="str">
        <f t="shared" si="37"/>
        <v>1211-202577-44774</v>
      </c>
    </row>
    <row r="2391" spans="1:5" ht="14.25" customHeight="1">
      <c r="A2391" s="4">
        <v>1211</v>
      </c>
      <c r="B2391" s="4">
        <v>202577</v>
      </c>
      <c r="C2391" s="17">
        <v>44781</v>
      </c>
      <c r="D2391" s="4">
        <v>15</v>
      </c>
      <c r="E2391" t="str">
        <f t="shared" si="37"/>
        <v>1211-202577-44781</v>
      </c>
    </row>
    <row r="2392" spans="1:5" ht="14.25" customHeight="1">
      <c r="A2392" s="4">
        <v>1211</v>
      </c>
      <c r="B2392" s="4">
        <v>202577</v>
      </c>
      <c r="C2392" s="17">
        <v>44788</v>
      </c>
      <c r="D2392" s="4">
        <v>15</v>
      </c>
      <c r="E2392" t="str">
        <f t="shared" si="37"/>
        <v>1211-202577-44788</v>
      </c>
    </row>
    <row r="2393" spans="1:5" ht="14.25" customHeight="1">
      <c r="A2393" s="4">
        <v>1211</v>
      </c>
      <c r="B2393" s="4">
        <v>234334</v>
      </c>
      <c r="C2393" s="17">
        <v>44739</v>
      </c>
      <c r="D2393" s="4">
        <v>24</v>
      </c>
      <c r="E2393" t="str">
        <f t="shared" si="37"/>
        <v>1211-234334-44739</v>
      </c>
    </row>
    <row r="2394" spans="1:5" ht="14.25" customHeight="1">
      <c r="A2394" s="4">
        <v>1211</v>
      </c>
      <c r="B2394" s="4">
        <v>234334</v>
      </c>
      <c r="C2394" s="17">
        <v>44746</v>
      </c>
      <c r="D2394" s="4">
        <v>30</v>
      </c>
      <c r="E2394" t="str">
        <f t="shared" si="37"/>
        <v>1211-234334-44746</v>
      </c>
    </row>
    <row r="2395" spans="1:5" ht="14.25" customHeight="1">
      <c r="A2395" s="4">
        <v>1211</v>
      </c>
      <c r="B2395" s="4">
        <v>234334</v>
      </c>
      <c r="C2395" s="17">
        <v>44753</v>
      </c>
      <c r="D2395" s="4">
        <v>30</v>
      </c>
      <c r="E2395" t="str">
        <f t="shared" si="37"/>
        <v>1211-234334-44753</v>
      </c>
    </row>
    <row r="2396" spans="1:5" ht="14.25" customHeight="1">
      <c r="A2396" s="4">
        <v>1211</v>
      </c>
      <c r="B2396" s="4">
        <v>234334</v>
      </c>
      <c r="C2396" s="17">
        <v>44760</v>
      </c>
      <c r="D2396" s="4">
        <v>4</v>
      </c>
      <c r="E2396" t="str">
        <f t="shared" si="37"/>
        <v>1211-234334-44760</v>
      </c>
    </row>
    <row r="2397" spans="1:5" ht="14.25" customHeight="1">
      <c r="A2397" s="4">
        <v>1211</v>
      </c>
      <c r="B2397" s="4">
        <v>234334</v>
      </c>
      <c r="C2397" s="17">
        <v>44767</v>
      </c>
      <c r="D2397" s="4">
        <v>10</v>
      </c>
      <c r="E2397" t="str">
        <f t="shared" si="37"/>
        <v>1211-234334-44767</v>
      </c>
    </row>
    <row r="2398" spans="1:5" ht="14.25" customHeight="1">
      <c r="A2398" s="4">
        <v>1211</v>
      </c>
      <c r="B2398" s="4">
        <v>234334</v>
      </c>
      <c r="C2398" s="17">
        <v>44774</v>
      </c>
      <c r="D2398" s="4">
        <v>22</v>
      </c>
      <c r="E2398" t="str">
        <f t="shared" si="37"/>
        <v>1211-234334-44774</v>
      </c>
    </row>
    <row r="2399" spans="1:5" ht="14.25" customHeight="1">
      <c r="A2399" s="4">
        <v>1211</v>
      </c>
      <c r="B2399" s="4">
        <v>234334</v>
      </c>
      <c r="C2399" s="17">
        <v>44781</v>
      </c>
      <c r="D2399" s="4">
        <v>21</v>
      </c>
      <c r="E2399" t="str">
        <f t="shared" si="37"/>
        <v>1211-234334-44781</v>
      </c>
    </row>
    <row r="2400" spans="1:5" ht="14.25" customHeight="1">
      <c r="A2400" s="4">
        <v>1211</v>
      </c>
      <c r="B2400" s="4">
        <v>234334</v>
      </c>
      <c r="C2400" s="17">
        <v>44788</v>
      </c>
      <c r="D2400" s="4">
        <v>15</v>
      </c>
      <c r="E2400" t="str">
        <f t="shared" si="37"/>
        <v>1211-234334-44788</v>
      </c>
    </row>
    <row r="2401" spans="1:5" ht="14.25" customHeight="1">
      <c r="A2401" s="4">
        <v>1211</v>
      </c>
      <c r="B2401" s="4">
        <v>249444</v>
      </c>
      <c r="C2401" s="17">
        <v>44739</v>
      </c>
      <c r="D2401" s="4">
        <v>53</v>
      </c>
      <c r="E2401" t="str">
        <f t="shared" si="37"/>
        <v>1211-249444-44739</v>
      </c>
    </row>
    <row r="2402" spans="1:5" ht="14.25" customHeight="1">
      <c r="A2402" s="4">
        <v>1211</v>
      </c>
      <c r="B2402" s="4">
        <v>249444</v>
      </c>
      <c r="C2402" s="17">
        <v>44746</v>
      </c>
      <c r="D2402" s="4">
        <v>69</v>
      </c>
      <c r="E2402" t="str">
        <f t="shared" si="37"/>
        <v>1211-249444-44746</v>
      </c>
    </row>
    <row r="2403" spans="1:5" ht="14.25" customHeight="1">
      <c r="A2403" s="4">
        <v>1211</v>
      </c>
      <c r="B2403" s="4">
        <v>249444</v>
      </c>
      <c r="C2403" s="17">
        <v>44753</v>
      </c>
      <c r="D2403" s="4">
        <v>56</v>
      </c>
      <c r="E2403" t="str">
        <f t="shared" si="37"/>
        <v>1211-249444-44753</v>
      </c>
    </row>
    <row r="2404" spans="1:5" ht="14.25" customHeight="1">
      <c r="A2404" s="4">
        <v>1211</v>
      </c>
      <c r="B2404" s="4">
        <v>249444</v>
      </c>
      <c r="C2404" s="17">
        <v>44760</v>
      </c>
      <c r="D2404" s="4">
        <v>66</v>
      </c>
      <c r="E2404" t="str">
        <f t="shared" si="37"/>
        <v>1211-249444-44760</v>
      </c>
    </row>
    <row r="2405" spans="1:5" ht="14.25" customHeight="1">
      <c r="A2405" s="4">
        <v>1211</v>
      </c>
      <c r="B2405" s="4">
        <v>249444</v>
      </c>
      <c r="C2405" s="17">
        <v>44767</v>
      </c>
      <c r="D2405" s="4">
        <v>30</v>
      </c>
      <c r="E2405" t="str">
        <f t="shared" si="37"/>
        <v>1211-249444-44767</v>
      </c>
    </row>
    <row r="2406" spans="1:5" ht="14.25" customHeight="1">
      <c r="A2406" s="4">
        <v>1211</v>
      </c>
      <c r="B2406" s="4">
        <v>249444</v>
      </c>
      <c r="C2406" s="17">
        <v>44774</v>
      </c>
      <c r="D2406" s="4">
        <v>33</v>
      </c>
      <c r="E2406" t="str">
        <f t="shared" si="37"/>
        <v>1211-249444-44774</v>
      </c>
    </row>
    <row r="2407" spans="1:5" ht="14.25" customHeight="1">
      <c r="A2407" s="4">
        <v>1211</v>
      </c>
      <c r="B2407" s="4">
        <v>249444</v>
      </c>
      <c r="C2407" s="17">
        <v>44781</v>
      </c>
      <c r="D2407" s="4">
        <v>54</v>
      </c>
      <c r="E2407" t="str">
        <f t="shared" si="37"/>
        <v>1211-249444-44781</v>
      </c>
    </row>
    <row r="2408" spans="1:5" ht="14.25" customHeight="1">
      <c r="A2408" s="4">
        <v>1211</v>
      </c>
      <c r="B2408" s="4">
        <v>249444</v>
      </c>
      <c r="C2408" s="17">
        <v>44788</v>
      </c>
      <c r="D2408" s="4">
        <v>64</v>
      </c>
      <c r="E2408" t="str">
        <f t="shared" si="37"/>
        <v>1211-249444-44788</v>
      </c>
    </row>
    <row r="2409" spans="1:5" ht="14.25" customHeight="1">
      <c r="A2409" s="4">
        <v>1211</v>
      </c>
      <c r="B2409" s="4">
        <v>249795</v>
      </c>
      <c r="C2409" s="17">
        <v>44739</v>
      </c>
      <c r="D2409" s="4">
        <v>57</v>
      </c>
      <c r="E2409" t="str">
        <f t="shared" si="37"/>
        <v>1211-249795-44739</v>
      </c>
    </row>
    <row r="2410" spans="1:5" ht="14.25" customHeight="1">
      <c r="A2410" s="4">
        <v>1211</v>
      </c>
      <c r="B2410" s="4">
        <v>249795</v>
      </c>
      <c r="C2410" s="17">
        <v>44746</v>
      </c>
      <c r="D2410" s="4">
        <v>42</v>
      </c>
      <c r="E2410" t="str">
        <f t="shared" si="37"/>
        <v>1211-249795-44746</v>
      </c>
    </row>
    <row r="2411" spans="1:5" ht="14.25" customHeight="1">
      <c r="A2411" s="4">
        <v>1211</v>
      </c>
      <c r="B2411" s="4">
        <v>249795</v>
      </c>
      <c r="C2411" s="17">
        <v>44753</v>
      </c>
      <c r="D2411" s="4">
        <v>51</v>
      </c>
      <c r="E2411" t="str">
        <f t="shared" si="37"/>
        <v>1211-249795-44753</v>
      </c>
    </row>
    <row r="2412" spans="1:5" ht="14.25" customHeight="1">
      <c r="A2412" s="4">
        <v>1211</v>
      </c>
      <c r="B2412" s="4">
        <v>249795</v>
      </c>
      <c r="C2412" s="17">
        <v>44760</v>
      </c>
      <c r="D2412" s="4">
        <v>24</v>
      </c>
      <c r="E2412" t="str">
        <f t="shared" si="37"/>
        <v>1211-249795-44760</v>
      </c>
    </row>
    <row r="2413" spans="1:5" ht="14.25" customHeight="1">
      <c r="A2413" s="4">
        <v>1211</v>
      </c>
      <c r="B2413" s="4">
        <v>249795</v>
      </c>
      <c r="C2413" s="17">
        <v>44767</v>
      </c>
      <c r="D2413" s="4">
        <v>39</v>
      </c>
      <c r="E2413" t="str">
        <f t="shared" si="37"/>
        <v>1211-249795-44767</v>
      </c>
    </row>
    <row r="2414" spans="1:5" ht="14.25" customHeight="1">
      <c r="A2414" s="4">
        <v>1211</v>
      </c>
      <c r="B2414" s="4">
        <v>249795</v>
      </c>
      <c r="C2414" s="17">
        <v>44774</v>
      </c>
      <c r="D2414" s="4">
        <v>59</v>
      </c>
      <c r="E2414" t="str">
        <f t="shared" si="37"/>
        <v>1211-249795-44774</v>
      </c>
    </row>
    <row r="2415" spans="1:5" ht="14.25" customHeight="1">
      <c r="A2415" s="4">
        <v>1211</v>
      </c>
      <c r="B2415" s="4">
        <v>249795</v>
      </c>
      <c r="C2415" s="17">
        <v>44781</v>
      </c>
      <c r="D2415" s="4">
        <v>51</v>
      </c>
      <c r="E2415" t="str">
        <f t="shared" si="37"/>
        <v>1211-249795-44781</v>
      </c>
    </row>
    <row r="2416" spans="1:5" ht="14.25" customHeight="1">
      <c r="A2416" s="4">
        <v>1211</v>
      </c>
      <c r="B2416" s="4">
        <v>249795</v>
      </c>
      <c r="C2416" s="17">
        <v>44788</v>
      </c>
      <c r="D2416" s="4">
        <v>50</v>
      </c>
      <c r="E2416" t="str">
        <f t="shared" si="37"/>
        <v>1211-249795-44788</v>
      </c>
    </row>
    <row r="2417" spans="1:5" ht="14.25" customHeight="1">
      <c r="A2417" s="4">
        <v>1211</v>
      </c>
      <c r="B2417" s="4">
        <v>250979</v>
      </c>
      <c r="C2417" s="17">
        <v>44739</v>
      </c>
      <c r="D2417" s="4">
        <v>6</v>
      </c>
      <c r="E2417" t="str">
        <f t="shared" si="37"/>
        <v>1211-250979-44739</v>
      </c>
    </row>
    <row r="2418" spans="1:5" ht="14.25" customHeight="1">
      <c r="A2418" s="4">
        <v>1211</v>
      </c>
      <c r="B2418" s="4">
        <v>250979</v>
      </c>
      <c r="C2418" s="17">
        <v>44746</v>
      </c>
      <c r="D2418" s="4">
        <v>6</v>
      </c>
      <c r="E2418" t="str">
        <f t="shared" si="37"/>
        <v>1211-250979-44746</v>
      </c>
    </row>
    <row r="2419" spans="1:5" ht="14.25" customHeight="1">
      <c r="A2419" s="4">
        <v>1211</v>
      </c>
      <c r="B2419" s="4">
        <v>250979</v>
      </c>
      <c r="C2419" s="17">
        <v>44753</v>
      </c>
      <c r="D2419" s="4">
        <v>6</v>
      </c>
      <c r="E2419" t="str">
        <f t="shared" si="37"/>
        <v>1211-250979-44753</v>
      </c>
    </row>
    <row r="2420" spans="1:5" ht="14.25" customHeight="1">
      <c r="A2420" s="4">
        <v>1211</v>
      </c>
      <c r="B2420" s="4">
        <v>250979</v>
      </c>
      <c r="C2420" s="17">
        <v>44760</v>
      </c>
      <c r="D2420" s="4">
        <v>6</v>
      </c>
      <c r="E2420" t="str">
        <f t="shared" si="37"/>
        <v>1211-250979-44760</v>
      </c>
    </row>
    <row r="2421" spans="1:5" ht="14.25" customHeight="1">
      <c r="A2421" s="4">
        <v>1211</v>
      </c>
      <c r="B2421" s="4">
        <v>250979</v>
      </c>
      <c r="C2421" s="17">
        <v>44767</v>
      </c>
      <c r="D2421" s="4">
        <v>6</v>
      </c>
      <c r="E2421" t="str">
        <f t="shared" si="37"/>
        <v>1211-250979-44767</v>
      </c>
    </row>
    <row r="2422" spans="1:5" ht="14.25" customHeight="1">
      <c r="A2422" s="4">
        <v>1211</v>
      </c>
      <c r="B2422" s="4">
        <v>250979</v>
      </c>
      <c r="C2422" s="17">
        <v>44774</v>
      </c>
      <c r="D2422" s="4">
        <v>6</v>
      </c>
      <c r="E2422" t="str">
        <f t="shared" si="37"/>
        <v>1211-250979-44774</v>
      </c>
    </row>
    <row r="2423" spans="1:5" ht="14.25" customHeight="1">
      <c r="A2423" s="4">
        <v>1211</v>
      </c>
      <c r="B2423" s="4">
        <v>250979</v>
      </c>
      <c r="C2423" s="17">
        <v>44781</v>
      </c>
      <c r="D2423" s="4">
        <v>6</v>
      </c>
      <c r="E2423" t="str">
        <f t="shared" si="37"/>
        <v>1211-250979-44781</v>
      </c>
    </row>
    <row r="2424" spans="1:5" ht="14.25" customHeight="1">
      <c r="A2424" s="4">
        <v>1211</v>
      </c>
      <c r="B2424" s="4">
        <v>250979</v>
      </c>
      <c r="C2424" s="17">
        <v>44788</v>
      </c>
      <c r="D2424" s="4">
        <v>6</v>
      </c>
      <c r="E2424" t="str">
        <f t="shared" si="37"/>
        <v>1211-250979-44788</v>
      </c>
    </row>
    <row r="2425" spans="1:5" ht="14.25" customHeight="1">
      <c r="A2425" s="4">
        <v>1211</v>
      </c>
      <c r="B2425" s="4">
        <v>250981</v>
      </c>
      <c r="C2425" s="17">
        <v>44739</v>
      </c>
      <c r="D2425" s="4">
        <v>13</v>
      </c>
      <c r="E2425" t="str">
        <f t="shared" si="37"/>
        <v>1211-250981-44739</v>
      </c>
    </row>
    <row r="2426" spans="1:5" ht="14.25" customHeight="1">
      <c r="A2426" s="4">
        <v>1211</v>
      </c>
      <c r="B2426" s="4">
        <v>250981</v>
      </c>
      <c r="C2426" s="17">
        <v>44746</v>
      </c>
      <c r="D2426" s="4">
        <v>12</v>
      </c>
      <c r="E2426" t="str">
        <f t="shared" si="37"/>
        <v>1211-250981-44746</v>
      </c>
    </row>
    <row r="2427" spans="1:5" ht="14.25" customHeight="1">
      <c r="A2427" s="4">
        <v>1211</v>
      </c>
      <c r="B2427" s="4">
        <v>250981</v>
      </c>
      <c r="C2427" s="17">
        <v>44753</v>
      </c>
      <c r="D2427" s="4">
        <v>14</v>
      </c>
      <c r="E2427" t="str">
        <f t="shared" si="37"/>
        <v>1211-250981-44753</v>
      </c>
    </row>
    <row r="2428" spans="1:5" ht="14.25" customHeight="1">
      <c r="A2428" s="4">
        <v>1211</v>
      </c>
      <c r="B2428" s="4">
        <v>250981</v>
      </c>
      <c r="C2428" s="17">
        <v>44760</v>
      </c>
      <c r="D2428" s="4">
        <v>9</v>
      </c>
      <c r="E2428" t="str">
        <f t="shared" si="37"/>
        <v>1211-250981-44760</v>
      </c>
    </row>
    <row r="2429" spans="1:5" ht="14.25" customHeight="1">
      <c r="A2429" s="4">
        <v>1211</v>
      </c>
      <c r="B2429" s="4">
        <v>250981</v>
      </c>
      <c r="C2429" s="17">
        <v>44767</v>
      </c>
      <c r="D2429" s="4">
        <v>9</v>
      </c>
      <c r="E2429" t="str">
        <f t="shared" si="37"/>
        <v>1211-250981-44767</v>
      </c>
    </row>
    <row r="2430" spans="1:5" ht="14.25" customHeight="1">
      <c r="A2430" s="4">
        <v>1211</v>
      </c>
      <c r="B2430" s="4">
        <v>250981</v>
      </c>
      <c r="C2430" s="17">
        <v>44774</v>
      </c>
      <c r="D2430" s="4">
        <v>9</v>
      </c>
      <c r="E2430" t="str">
        <f t="shared" si="37"/>
        <v>1211-250981-44774</v>
      </c>
    </row>
    <row r="2431" spans="1:5" ht="14.25" customHeight="1">
      <c r="A2431" s="4">
        <v>1211</v>
      </c>
      <c r="B2431" s="4">
        <v>250981</v>
      </c>
      <c r="C2431" s="17">
        <v>44781</v>
      </c>
      <c r="D2431" s="4">
        <v>6</v>
      </c>
      <c r="E2431" t="str">
        <f t="shared" si="37"/>
        <v>1211-250981-44781</v>
      </c>
    </row>
    <row r="2432" spans="1:5" ht="14.25" customHeight="1">
      <c r="A2432" s="4">
        <v>1211</v>
      </c>
      <c r="B2432" s="4">
        <v>250981</v>
      </c>
      <c r="C2432" s="17">
        <v>44788</v>
      </c>
      <c r="D2432" s="4">
        <v>2</v>
      </c>
      <c r="E2432" t="str">
        <f t="shared" si="37"/>
        <v>1211-250981-44788</v>
      </c>
    </row>
    <row r="2433" spans="1:5" ht="14.25" customHeight="1">
      <c r="A2433" s="4">
        <v>1211</v>
      </c>
      <c r="B2433" s="4">
        <v>262294</v>
      </c>
      <c r="C2433" s="17">
        <v>44739</v>
      </c>
      <c r="D2433" s="4">
        <v>22</v>
      </c>
      <c r="E2433" t="str">
        <f t="shared" si="37"/>
        <v>1211-262294-44739</v>
      </c>
    </row>
    <row r="2434" spans="1:5" ht="14.25" customHeight="1">
      <c r="A2434" s="4">
        <v>1211</v>
      </c>
      <c r="B2434" s="4">
        <v>262294</v>
      </c>
      <c r="C2434" s="17">
        <v>44746</v>
      </c>
      <c r="D2434" s="4">
        <v>21</v>
      </c>
      <c r="E2434" t="str">
        <f t="shared" si="37"/>
        <v>1211-262294-44746</v>
      </c>
    </row>
    <row r="2435" spans="1:5" ht="14.25" customHeight="1">
      <c r="A2435" s="4">
        <v>1211</v>
      </c>
      <c r="B2435" s="4">
        <v>262294</v>
      </c>
      <c r="C2435" s="17">
        <v>44753</v>
      </c>
      <c r="D2435" s="4">
        <v>0</v>
      </c>
      <c r="E2435" t="str">
        <f t="shared" ref="E2435:E2498" si="38">A2435&amp;"-"&amp;B2435&amp;"-"&amp;INT(C2435)</f>
        <v>1211-262294-44753</v>
      </c>
    </row>
    <row r="2436" spans="1:5" ht="14.25" customHeight="1">
      <c r="A2436" s="4">
        <v>1211</v>
      </c>
      <c r="B2436" s="4">
        <v>262294</v>
      </c>
      <c r="C2436" s="17">
        <v>44760</v>
      </c>
      <c r="D2436" s="4">
        <v>20</v>
      </c>
      <c r="E2436" t="str">
        <f t="shared" si="38"/>
        <v>1211-262294-44760</v>
      </c>
    </row>
    <row r="2437" spans="1:5" ht="14.25" customHeight="1">
      <c r="A2437" s="4">
        <v>1211</v>
      </c>
      <c r="B2437" s="4">
        <v>262294</v>
      </c>
      <c r="C2437" s="17">
        <v>44767</v>
      </c>
      <c r="D2437" s="4">
        <v>19</v>
      </c>
      <c r="E2437" t="str">
        <f t="shared" si="38"/>
        <v>1211-262294-44767</v>
      </c>
    </row>
    <row r="2438" spans="1:5" ht="14.25" customHeight="1">
      <c r="A2438" s="4">
        <v>1211</v>
      </c>
      <c r="B2438" s="4">
        <v>262294</v>
      </c>
      <c r="C2438" s="17">
        <v>44774</v>
      </c>
      <c r="D2438" s="4">
        <v>18</v>
      </c>
      <c r="E2438" t="str">
        <f t="shared" si="38"/>
        <v>1211-262294-44774</v>
      </c>
    </row>
    <row r="2439" spans="1:5" ht="14.25" customHeight="1">
      <c r="A2439" s="4">
        <v>1211</v>
      </c>
      <c r="B2439" s="4">
        <v>262294</v>
      </c>
      <c r="C2439" s="17">
        <v>44781</v>
      </c>
      <c r="D2439" s="4">
        <v>15</v>
      </c>
      <c r="E2439" t="str">
        <f t="shared" si="38"/>
        <v>1211-262294-44781</v>
      </c>
    </row>
    <row r="2440" spans="1:5" ht="14.25" customHeight="1">
      <c r="A2440" s="4">
        <v>1211</v>
      </c>
      <c r="B2440" s="4">
        <v>262294</v>
      </c>
      <c r="C2440" s="17">
        <v>44788</v>
      </c>
      <c r="D2440" s="4">
        <v>6</v>
      </c>
      <c r="E2440" t="str">
        <f t="shared" si="38"/>
        <v>1211-262294-44788</v>
      </c>
    </row>
    <row r="2441" spans="1:5" ht="14.25" customHeight="1">
      <c r="A2441" s="4">
        <v>1211</v>
      </c>
      <c r="B2441" s="4">
        <v>268831</v>
      </c>
      <c r="C2441" s="17">
        <v>44739</v>
      </c>
      <c r="D2441" s="4">
        <v>22</v>
      </c>
      <c r="E2441" t="str">
        <f t="shared" si="38"/>
        <v>1211-268831-44739</v>
      </c>
    </row>
    <row r="2442" spans="1:5" ht="14.25" customHeight="1">
      <c r="A2442" s="4">
        <v>1211</v>
      </c>
      <c r="B2442" s="4">
        <v>268831</v>
      </c>
      <c r="C2442" s="17">
        <v>44746</v>
      </c>
      <c r="D2442" s="4">
        <v>12</v>
      </c>
      <c r="E2442" t="str">
        <f t="shared" si="38"/>
        <v>1211-268831-44746</v>
      </c>
    </row>
    <row r="2443" spans="1:5" ht="14.25" customHeight="1">
      <c r="A2443" s="4">
        <v>1211</v>
      </c>
      <c r="B2443" s="4">
        <v>268831</v>
      </c>
      <c r="C2443" s="17">
        <v>44753</v>
      </c>
      <c r="D2443" s="4">
        <v>22</v>
      </c>
      <c r="E2443" t="str">
        <f t="shared" si="38"/>
        <v>1211-268831-44753</v>
      </c>
    </row>
    <row r="2444" spans="1:5" ht="14.25" customHeight="1">
      <c r="A2444" s="4">
        <v>1211</v>
      </c>
      <c r="B2444" s="4">
        <v>268831</v>
      </c>
      <c r="C2444" s="17">
        <v>44760</v>
      </c>
      <c r="D2444" s="4">
        <v>22</v>
      </c>
      <c r="E2444" t="str">
        <f t="shared" si="38"/>
        <v>1211-268831-44760</v>
      </c>
    </row>
    <row r="2445" spans="1:5" ht="14.25" customHeight="1">
      <c r="A2445" s="4">
        <v>1211</v>
      </c>
      <c r="B2445" s="4">
        <v>268831</v>
      </c>
      <c r="C2445" s="17">
        <v>44767</v>
      </c>
      <c r="D2445" s="4">
        <v>22</v>
      </c>
      <c r="E2445" t="str">
        <f t="shared" si="38"/>
        <v>1211-268831-44767</v>
      </c>
    </row>
    <row r="2446" spans="1:5" ht="14.25" customHeight="1">
      <c r="A2446" s="4">
        <v>1211</v>
      </c>
      <c r="B2446" s="4">
        <v>268831</v>
      </c>
      <c r="C2446" s="17">
        <v>44774</v>
      </c>
      <c r="D2446" s="4">
        <v>20</v>
      </c>
      <c r="E2446" t="str">
        <f t="shared" si="38"/>
        <v>1211-268831-44774</v>
      </c>
    </row>
    <row r="2447" spans="1:5" ht="14.25" customHeight="1">
      <c r="A2447" s="4">
        <v>1211</v>
      </c>
      <c r="B2447" s="4">
        <v>268831</v>
      </c>
      <c r="C2447" s="17">
        <v>44781</v>
      </c>
      <c r="D2447" s="4">
        <v>18</v>
      </c>
      <c r="E2447" t="str">
        <f t="shared" si="38"/>
        <v>1211-268831-44781</v>
      </c>
    </row>
    <row r="2448" spans="1:5" ht="14.25" customHeight="1">
      <c r="A2448" s="4">
        <v>1211</v>
      </c>
      <c r="B2448" s="4">
        <v>268831</v>
      </c>
      <c r="C2448" s="17">
        <v>44788</v>
      </c>
      <c r="D2448" s="4">
        <v>23</v>
      </c>
      <c r="E2448" t="str">
        <f t="shared" si="38"/>
        <v>1211-268831-44788</v>
      </c>
    </row>
    <row r="2449" spans="1:5" ht="14.25" customHeight="1">
      <c r="A2449" s="4">
        <v>1211</v>
      </c>
      <c r="B2449" s="4">
        <v>273701</v>
      </c>
      <c r="C2449" s="17">
        <v>44739</v>
      </c>
      <c r="D2449" s="4">
        <v>41</v>
      </c>
      <c r="E2449" t="str">
        <f t="shared" si="38"/>
        <v>1211-273701-44739</v>
      </c>
    </row>
    <row r="2450" spans="1:5" ht="14.25" customHeight="1">
      <c r="A2450" s="4">
        <v>1211</v>
      </c>
      <c r="B2450" s="4">
        <v>273701</v>
      </c>
      <c r="C2450" s="17">
        <v>44746</v>
      </c>
      <c r="D2450" s="4">
        <v>30</v>
      </c>
      <c r="E2450" t="str">
        <f t="shared" si="38"/>
        <v>1211-273701-44746</v>
      </c>
    </row>
    <row r="2451" spans="1:5" ht="14.25" customHeight="1">
      <c r="A2451" s="4">
        <v>1211</v>
      </c>
      <c r="B2451" s="4">
        <v>273701</v>
      </c>
      <c r="C2451" s="17">
        <v>44753</v>
      </c>
      <c r="D2451" s="4">
        <v>40</v>
      </c>
      <c r="E2451" t="str">
        <f t="shared" si="38"/>
        <v>1211-273701-44753</v>
      </c>
    </row>
    <row r="2452" spans="1:5" ht="14.25" customHeight="1">
      <c r="A2452" s="4">
        <v>1211</v>
      </c>
      <c r="B2452" s="4">
        <v>273701</v>
      </c>
      <c r="C2452" s="17">
        <v>44760</v>
      </c>
      <c r="D2452" s="4">
        <v>28</v>
      </c>
      <c r="E2452" t="str">
        <f t="shared" si="38"/>
        <v>1211-273701-44760</v>
      </c>
    </row>
    <row r="2453" spans="1:5" ht="14.25" customHeight="1">
      <c r="A2453" s="4">
        <v>1211</v>
      </c>
      <c r="B2453" s="4">
        <v>273701</v>
      </c>
      <c r="C2453" s="17">
        <v>44767</v>
      </c>
      <c r="D2453" s="4">
        <v>28</v>
      </c>
      <c r="E2453" t="str">
        <f t="shared" si="38"/>
        <v>1211-273701-44767</v>
      </c>
    </row>
    <row r="2454" spans="1:5" ht="14.25" customHeight="1">
      <c r="A2454" s="4">
        <v>1211</v>
      </c>
      <c r="B2454" s="4">
        <v>273701</v>
      </c>
      <c r="C2454" s="17">
        <v>44774</v>
      </c>
      <c r="D2454" s="4">
        <v>34</v>
      </c>
      <c r="E2454" t="str">
        <f t="shared" si="38"/>
        <v>1211-273701-44774</v>
      </c>
    </row>
    <row r="2455" spans="1:5" ht="14.25" customHeight="1">
      <c r="A2455" s="4">
        <v>1211</v>
      </c>
      <c r="B2455" s="4">
        <v>273701</v>
      </c>
      <c r="C2455" s="17">
        <v>44781</v>
      </c>
      <c r="D2455" s="4">
        <v>10</v>
      </c>
      <c r="E2455" t="str">
        <f t="shared" si="38"/>
        <v>1211-273701-44781</v>
      </c>
    </row>
    <row r="2456" spans="1:5" ht="14.25" customHeight="1">
      <c r="A2456" s="4">
        <v>1211</v>
      </c>
      <c r="B2456" s="4">
        <v>273701</v>
      </c>
      <c r="C2456" s="17">
        <v>44788</v>
      </c>
      <c r="D2456" s="4">
        <v>18</v>
      </c>
      <c r="E2456" t="str">
        <f t="shared" si="38"/>
        <v>1211-273701-44788</v>
      </c>
    </row>
    <row r="2457" spans="1:5" ht="14.25" customHeight="1">
      <c r="A2457" s="4">
        <v>1211</v>
      </c>
      <c r="B2457" s="4">
        <v>291726</v>
      </c>
      <c r="C2457" s="17">
        <v>44739</v>
      </c>
      <c r="D2457" s="4">
        <v>9</v>
      </c>
      <c r="E2457" t="str">
        <f t="shared" si="38"/>
        <v>1211-291726-44739</v>
      </c>
    </row>
    <row r="2458" spans="1:5" ht="14.25" customHeight="1">
      <c r="A2458" s="4">
        <v>1211</v>
      </c>
      <c r="B2458" s="4">
        <v>291726</v>
      </c>
      <c r="C2458" s="17">
        <v>44746</v>
      </c>
      <c r="D2458" s="4">
        <v>9</v>
      </c>
      <c r="E2458" t="str">
        <f t="shared" si="38"/>
        <v>1211-291726-44746</v>
      </c>
    </row>
    <row r="2459" spans="1:5" ht="14.25" customHeight="1">
      <c r="A2459" s="4">
        <v>1211</v>
      </c>
      <c r="B2459" s="4">
        <v>291726</v>
      </c>
      <c r="C2459" s="17">
        <v>44753</v>
      </c>
      <c r="D2459" s="4">
        <v>9</v>
      </c>
      <c r="E2459" t="str">
        <f t="shared" si="38"/>
        <v>1211-291726-44753</v>
      </c>
    </row>
    <row r="2460" spans="1:5" ht="14.25" customHeight="1">
      <c r="A2460" s="4">
        <v>1211</v>
      </c>
      <c r="B2460" s="4">
        <v>291726</v>
      </c>
      <c r="C2460" s="17">
        <v>44760</v>
      </c>
      <c r="D2460" s="4">
        <v>9</v>
      </c>
      <c r="E2460" t="str">
        <f t="shared" si="38"/>
        <v>1211-291726-44760</v>
      </c>
    </row>
    <row r="2461" spans="1:5" ht="14.25" customHeight="1">
      <c r="A2461" s="4">
        <v>1211</v>
      </c>
      <c r="B2461" s="4">
        <v>291726</v>
      </c>
      <c r="C2461" s="17">
        <v>44767</v>
      </c>
      <c r="D2461" s="4">
        <v>9</v>
      </c>
      <c r="E2461" t="str">
        <f t="shared" si="38"/>
        <v>1211-291726-44767</v>
      </c>
    </row>
    <row r="2462" spans="1:5" ht="14.25" customHeight="1">
      <c r="A2462" s="4">
        <v>1211</v>
      </c>
      <c r="B2462" s="4">
        <v>291726</v>
      </c>
      <c r="C2462" s="17">
        <v>44774</v>
      </c>
      <c r="D2462" s="4">
        <v>9</v>
      </c>
      <c r="E2462" t="str">
        <f t="shared" si="38"/>
        <v>1211-291726-44774</v>
      </c>
    </row>
    <row r="2463" spans="1:5" ht="14.25" customHeight="1">
      <c r="A2463" s="4">
        <v>1211</v>
      </c>
      <c r="B2463" s="4">
        <v>291726</v>
      </c>
      <c r="C2463" s="17">
        <v>44781</v>
      </c>
      <c r="D2463" s="4">
        <v>9</v>
      </c>
      <c r="E2463" t="str">
        <f t="shared" si="38"/>
        <v>1211-291726-44781</v>
      </c>
    </row>
    <row r="2464" spans="1:5" ht="14.25" customHeight="1">
      <c r="A2464" s="4">
        <v>1211</v>
      </c>
      <c r="B2464" s="4">
        <v>291726</v>
      </c>
      <c r="C2464" s="17">
        <v>44788</v>
      </c>
      <c r="D2464" s="4">
        <v>9</v>
      </c>
      <c r="E2464" t="str">
        <f t="shared" si="38"/>
        <v>1211-291726-44788</v>
      </c>
    </row>
    <row r="2465" spans="1:5" ht="14.25" customHeight="1">
      <c r="A2465" s="4">
        <v>1211</v>
      </c>
      <c r="B2465" s="4">
        <v>291728</v>
      </c>
      <c r="C2465" s="17">
        <v>44739</v>
      </c>
      <c r="D2465" s="4">
        <v>4</v>
      </c>
      <c r="E2465" t="str">
        <f t="shared" si="38"/>
        <v>1211-291728-44739</v>
      </c>
    </row>
    <row r="2466" spans="1:5" ht="14.25" customHeight="1">
      <c r="A2466" s="4">
        <v>1211</v>
      </c>
      <c r="B2466" s="4">
        <v>291728</v>
      </c>
      <c r="C2466" s="17">
        <v>44746</v>
      </c>
      <c r="D2466" s="4">
        <v>18</v>
      </c>
      <c r="E2466" t="str">
        <f t="shared" si="38"/>
        <v>1211-291728-44746</v>
      </c>
    </row>
    <row r="2467" spans="1:5" ht="14.25" customHeight="1">
      <c r="A2467" s="4">
        <v>1211</v>
      </c>
      <c r="B2467" s="4">
        <v>291728</v>
      </c>
      <c r="C2467" s="17">
        <v>44753</v>
      </c>
      <c r="D2467" s="4">
        <v>28</v>
      </c>
      <c r="E2467" t="str">
        <f t="shared" si="38"/>
        <v>1211-291728-44753</v>
      </c>
    </row>
    <row r="2468" spans="1:5" ht="14.25" customHeight="1">
      <c r="A2468" s="4">
        <v>1211</v>
      </c>
      <c r="B2468" s="4">
        <v>291728</v>
      </c>
      <c r="C2468" s="17">
        <v>44760</v>
      </c>
      <c r="D2468" s="4">
        <v>27</v>
      </c>
      <c r="E2468" t="str">
        <f t="shared" si="38"/>
        <v>1211-291728-44760</v>
      </c>
    </row>
    <row r="2469" spans="1:5" ht="14.25" customHeight="1">
      <c r="A2469" s="4">
        <v>1211</v>
      </c>
      <c r="B2469" s="4">
        <v>291728</v>
      </c>
      <c r="C2469" s="17">
        <v>44767</v>
      </c>
      <c r="D2469" s="4">
        <v>23</v>
      </c>
      <c r="E2469" t="str">
        <f t="shared" si="38"/>
        <v>1211-291728-44767</v>
      </c>
    </row>
    <row r="2470" spans="1:5" ht="14.25" customHeight="1">
      <c r="A2470" s="4">
        <v>1211</v>
      </c>
      <c r="B2470" s="4">
        <v>291728</v>
      </c>
      <c r="C2470" s="17">
        <v>44774</v>
      </c>
      <c r="D2470" s="4">
        <v>16</v>
      </c>
      <c r="E2470" t="str">
        <f t="shared" si="38"/>
        <v>1211-291728-44774</v>
      </c>
    </row>
    <row r="2471" spans="1:5" ht="14.25" customHeight="1">
      <c r="A2471" s="4">
        <v>1211</v>
      </c>
      <c r="B2471" s="4">
        <v>291728</v>
      </c>
      <c r="C2471" s="17">
        <v>44781</v>
      </c>
      <c r="D2471" s="4">
        <v>0</v>
      </c>
      <c r="E2471" t="str">
        <f t="shared" si="38"/>
        <v>1211-291728-44781</v>
      </c>
    </row>
    <row r="2472" spans="1:5" ht="14.25" customHeight="1">
      <c r="A2472" s="4">
        <v>1211</v>
      </c>
      <c r="B2472" s="4">
        <v>291728</v>
      </c>
      <c r="C2472" s="17">
        <v>44788</v>
      </c>
      <c r="D2472" s="4">
        <v>18</v>
      </c>
      <c r="E2472" t="str">
        <f t="shared" si="38"/>
        <v>1211-291728-44788</v>
      </c>
    </row>
    <row r="2473" spans="1:5" ht="14.25" customHeight="1">
      <c r="A2473" s="4">
        <v>1211</v>
      </c>
      <c r="B2473" s="4">
        <v>300380</v>
      </c>
      <c r="C2473" s="17">
        <v>44739</v>
      </c>
      <c r="D2473" s="4">
        <v>26</v>
      </c>
      <c r="E2473" t="str">
        <f t="shared" si="38"/>
        <v>1211-300380-44739</v>
      </c>
    </row>
    <row r="2474" spans="1:5" ht="14.25" customHeight="1">
      <c r="A2474" s="4">
        <v>1211</v>
      </c>
      <c r="B2474" s="4">
        <v>300380</v>
      </c>
      <c r="C2474" s="17">
        <v>44746</v>
      </c>
      <c r="D2474" s="4">
        <v>37</v>
      </c>
      <c r="E2474" t="str">
        <f t="shared" si="38"/>
        <v>1211-300380-44746</v>
      </c>
    </row>
    <row r="2475" spans="1:5" ht="14.25" customHeight="1">
      <c r="A2475" s="4">
        <v>1211</v>
      </c>
      <c r="B2475" s="4">
        <v>300380</v>
      </c>
      <c r="C2475" s="17">
        <v>44753</v>
      </c>
      <c r="D2475" s="4">
        <v>9</v>
      </c>
      <c r="E2475" t="str">
        <f t="shared" si="38"/>
        <v>1211-300380-44753</v>
      </c>
    </row>
    <row r="2476" spans="1:5" ht="14.25" customHeight="1">
      <c r="A2476" s="4">
        <v>1211</v>
      </c>
      <c r="B2476" s="4">
        <v>300380</v>
      </c>
      <c r="C2476" s="17">
        <v>44760</v>
      </c>
      <c r="D2476" s="4">
        <v>23</v>
      </c>
      <c r="E2476" t="str">
        <f t="shared" si="38"/>
        <v>1211-300380-44760</v>
      </c>
    </row>
    <row r="2477" spans="1:5" ht="14.25" customHeight="1">
      <c r="A2477" s="4">
        <v>1211</v>
      </c>
      <c r="B2477" s="4">
        <v>300380</v>
      </c>
      <c r="C2477" s="17">
        <v>44767</v>
      </c>
      <c r="D2477" s="4">
        <v>40</v>
      </c>
      <c r="E2477" t="str">
        <f t="shared" si="38"/>
        <v>1211-300380-44767</v>
      </c>
    </row>
    <row r="2478" spans="1:5" ht="14.25" customHeight="1">
      <c r="A2478" s="4">
        <v>1211</v>
      </c>
      <c r="B2478" s="4">
        <v>300380</v>
      </c>
      <c r="C2478" s="17">
        <v>44774</v>
      </c>
      <c r="D2478" s="4">
        <v>34</v>
      </c>
      <c r="E2478" t="str">
        <f t="shared" si="38"/>
        <v>1211-300380-44774</v>
      </c>
    </row>
    <row r="2479" spans="1:5" ht="14.25" customHeight="1">
      <c r="A2479" s="4">
        <v>1211</v>
      </c>
      <c r="B2479" s="4">
        <v>300380</v>
      </c>
      <c r="C2479" s="17">
        <v>44781</v>
      </c>
      <c r="D2479" s="4">
        <v>6</v>
      </c>
      <c r="E2479" t="str">
        <f t="shared" si="38"/>
        <v>1211-300380-44781</v>
      </c>
    </row>
    <row r="2480" spans="1:5" ht="14.25" customHeight="1">
      <c r="A2480" s="4">
        <v>1211</v>
      </c>
      <c r="B2480" s="4">
        <v>300380</v>
      </c>
      <c r="C2480" s="17">
        <v>44788</v>
      </c>
      <c r="D2480" s="4">
        <v>36</v>
      </c>
      <c r="E2480" t="str">
        <f t="shared" si="38"/>
        <v>1211-300380-44788</v>
      </c>
    </row>
    <row r="2481" spans="1:5" ht="14.25" customHeight="1">
      <c r="A2481" s="4">
        <v>1211</v>
      </c>
      <c r="B2481" s="4">
        <v>571521</v>
      </c>
      <c r="C2481" s="17">
        <v>44739</v>
      </c>
      <c r="D2481" s="4">
        <v>31</v>
      </c>
      <c r="E2481" t="str">
        <f t="shared" si="38"/>
        <v>1211-571521-44739</v>
      </c>
    </row>
    <row r="2482" spans="1:5" ht="14.25" customHeight="1">
      <c r="A2482" s="4">
        <v>1211</v>
      </c>
      <c r="B2482" s="4">
        <v>571521</v>
      </c>
      <c r="C2482" s="17">
        <v>44746</v>
      </c>
      <c r="D2482" s="4">
        <v>25</v>
      </c>
      <c r="E2482" t="str">
        <f t="shared" si="38"/>
        <v>1211-571521-44746</v>
      </c>
    </row>
    <row r="2483" spans="1:5" ht="14.25" customHeight="1">
      <c r="A2483" s="4">
        <v>1211</v>
      </c>
      <c r="B2483" s="4">
        <v>571521</v>
      </c>
      <c r="C2483" s="17">
        <v>44753</v>
      </c>
      <c r="D2483" s="4">
        <v>86</v>
      </c>
      <c r="E2483" t="str">
        <f t="shared" si="38"/>
        <v>1211-571521-44753</v>
      </c>
    </row>
    <row r="2484" spans="1:5" ht="14.25" customHeight="1">
      <c r="A2484" s="4">
        <v>1211</v>
      </c>
      <c r="B2484" s="4">
        <v>571521</v>
      </c>
      <c r="C2484" s="17">
        <v>44760</v>
      </c>
      <c r="D2484" s="4">
        <v>31</v>
      </c>
      <c r="E2484" t="str">
        <f t="shared" si="38"/>
        <v>1211-571521-44760</v>
      </c>
    </row>
    <row r="2485" spans="1:5" ht="14.25" customHeight="1">
      <c r="A2485" s="4">
        <v>1211</v>
      </c>
      <c r="B2485" s="4">
        <v>571521</v>
      </c>
      <c r="C2485" s="17">
        <v>44767</v>
      </c>
      <c r="D2485" s="4">
        <v>82</v>
      </c>
      <c r="E2485" t="str">
        <f t="shared" si="38"/>
        <v>1211-571521-44767</v>
      </c>
    </row>
    <row r="2486" spans="1:5" ht="14.25" customHeight="1">
      <c r="A2486" s="4">
        <v>1211</v>
      </c>
      <c r="B2486" s="4">
        <v>571521</v>
      </c>
      <c r="C2486" s="17">
        <v>44774</v>
      </c>
      <c r="D2486" s="4">
        <v>82</v>
      </c>
      <c r="E2486" t="str">
        <f t="shared" si="38"/>
        <v>1211-571521-44774</v>
      </c>
    </row>
    <row r="2487" spans="1:5" ht="14.25" customHeight="1">
      <c r="A2487" s="4">
        <v>1211</v>
      </c>
      <c r="B2487" s="4">
        <v>571521</v>
      </c>
      <c r="C2487" s="17">
        <v>44781</v>
      </c>
      <c r="D2487" s="4">
        <v>24</v>
      </c>
      <c r="E2487" t="str">
        <f t="shared" si="38"/>
        <v>1211-571521-44781</v>
      </c>
    </row>
    <row r="2488" spans="1:5" ht="14.25" customHeight="1">
      <c r="A2488" s="4">
        <v>1211</v>
      </c>
      <c r="B2488" s="4">
        <v>571521</v>
      </c>
      <c r="C2488" s="17">
        <v>44788</v>
      </c>
      <c r="D2488" s="4">
        <v>27</v>
      </c>
      <c r="E2488" t="str">
        <f t="shared" si="38"/>
        <v>1211-571521-44788</v>
      </c>
    </row>
    <row r="2489" spans="1:5" ht="14.25" customHeight="1">
      <c r="A2489" s="4">
        <v>1211</v>
      </c>
      <c r="B2489" s="4">
        <v>614993</v>
      </c>
      <c r="C2489" s="17">
        <v>44739</v>
      </c>
      <c r="D2489" s="4">
        <v>16</v>
      </c>
      <c r="E2489" t="str">
        <f t="shared" si="38"/>
        <v>1211-614993-44739</v>
      </c>
    </row>
    <row r="2490" spans="1:5" ht="14.25" customHeight="1">
      <c r="A2490" s="4">
        <v>1211</v>
      </c>
      <c r="B2490" s="4">
        <v>614993</v>
      </c>
      <c r="C2490" s="17">
        <v>44746</v>
      </c>
      <c r="D2490" s="4">
        <v>15</v>
      </c>
      <c r="E2490" t="str">
        <f t="shared" si="38"/>
        <v>1211-614993-44746</v>
      </c>
    </row>
    <row r="2491" spans="1:5" ht="14.25" customHeight="1">
      <c r="A2491" s="4">
        <v>1211</v>
      </c>
      <c r="B2491" s="4">
        <v>614993</v>
      </c>
      <c r="C2491" s="17">
        <v>44753</v>
      </c>
      <c r="D2491" s="4">
        <v>15</v>
      </c>
      <c r="E2491" t="str">
        <f t="shared" si="38"/>
        <v>1211-614993-44753</v>
      </c>
    </row>
    <row r="2492" spans="1:5" ht="14.25" customHeight="1">
      <c r="A2492" s="4">
        <v>1211</v>
      </c>
      <c r="B2492" s="4">
        <v>614993</v>
      </c>
      <c r="C2492" s="17">
        <v>44760</v>
      </c>
      <c r="D2492" s="4">
        <v>21</v>
      </c>
      <c r="E2492" t="str">
        <f t="shared" si="38"/>
        <v>1211-614993-44760</v>
      </c>
    </row>
    <row r="2493" spans="1:5" ht="14.25" customHeight="1">
      <c r="A2493" s="4">
        <v>1211</v>
      </c>
      <c r="B2493" s="4">
        <v>614993</v>
      </c>
      <c r="C2493" s="17">
        <v>44767</v>
      </c>
      <c r="D2493" s="4">
        <v>20</v>
      </c>
      <c r="E2493" t="str">
        <f t="shared" si="38"/>
        <v>1211-614993-44767</v>
      </c>
    </row>
    <row r="2494" spans="1:5" ht="14.25" customHeight="1">
      <c r="A2494" s="4">
        <v>1211</v>
      </c>
      <c r="B2494" s="4">
        <v>614993</v>
      </c>
      <c r="C2494" s="17">
        <v>44774</v>
      </c>
      <c r="D2494" s="4">
        <v>7</v>
      </c>
      <c r="E2494" t="str">
        <f t="shared" si="38"/>
        <v>1211-614993-44774</v>
      </c>
    </row>
    <row r="2495" spans="1:5" ht="14.25" customHeight="1">
      <c r="A2495" s="4">
        <v>1211</v>
      </c>
      <c r="B2495" s="4">
        <v>614993</v>
      </c>
      <c r="C2495" s="17">
        <v>44781</v>
      </c>
      <c r="D2495" s="4">
        <v>20</v>
      </c>
      <c r="E2495" t="str">
        <f t="shared" si="38"/>
        <v>1211-614993-44781</v>
      </c>
    </row>
    <row r="2496" spans="1:5" ht="14.25" customHeight="1">
      <c r="A2496" s="4">
        <v>1211</v>
      </c>
      <c r="B2496" s="4">
        <v>614993</v>
      </c>
      <c r="C2496" s="17">
        <v>44788</v>
      </c>
      <c r="D2496" s="4">
        <v>20</v>
      </c>
      <c r="E2496" t="str">
        <f t="shared" si="38"/>
        <v>1211-614993-44788</v>
      </c>
    </row>
    <row r="2497" spans="1:5" ht="14.25" customHeight="1">
      <c r="A2497" s="4">
        <v>1212</v>
      </c>
      <c r="B2497" s="4">
        <v>23393</v>
      </c>
      <c r="C2497" s="17">
        <v>44739</v>
      </c>
      <c r="D2497" s="4">
        <v>42</v>
      </c>
      <c r="E2497" t="str">
        <f t="shared" si="38"/>
        <v>1212-23393-44739</v>
      </c>
    </row>
    <row r="2498" spans="1:5" ht="14.25" customHeight="1">
      <c r="A2498" s="4">
        <v>1212</v>
      </c>
      <c r="B2498" s="4">
        <v>23393</v>
      </c>
      <c r="C2498" s="17">
        <v>44746</v>
      </c>
      <c r="D2498" s="4">
        <v>36</v>
      </c>
      <c r="E2498" t="str">
        <f t="shared" si="38"/>
        <v>1212-23393-44746</v>
      </c>
    </row>
    <row r="2499" spans="1:5" ht="14.25" customHeight="1">
      <c r="A2499" s="4">
        <v>1212</v>
      </c>
      <c r="B2499" s="4">
        <v>23393</v>
      </c>
      <c r="C2499" s="17">
        <v>44753</v>
      </c>
      <c r="D2499" s="4">
        <v>42</v>
      </c>
      <c r="E2499" t="str">
        <f t="shared" ref="E2499:E2562" si="39">A2499&amp;"-"&amp;B2499&amp;"-"&amp;INT(C2499)</f>
        <v>1212-23393-44753</v>
      </c>
    </row>
    <row r="2500" spans="1:5" ht="14.25" customHeight="1">
      <c r="A2500" s="4">
        <v>1212</v>
      </c>
      <c r="B2500" s="4">
        <v>23393</v>
      </c>
      <c r="C2500" s="17">
        <v>44760</v>
      </c>
      <c r="D2500" s="4">
        <v>29</v>
      </c>
      <c r="E2500" t="str">
        <f t="shared" si="39"/>
        <v>1212-23393-44760</v>
      </c>
    </row>
    <row r="2501" spans="1:5" ht="14.25" customHeight="1">
      <c r="A2501" s="4">
        <v>1212</v>
      </c>
      <c r="B2501" s="4">
        <v>23393</v>
      </c>
      <c r="C2501" s="17">
        <v>44767</v>
      </c>
      <c r="D2501" s="4">
        <v>40</v>
      </c>
      <c r="E2501" t="str">
        <f t="shared" si="39"/>
        <v>1212-23393-44767</v>
      </c>
    </row>
    <row r="2502" spans="1:5" ht="14.25" customHeight="1">
      <c r="A2502" s="4">
        <v>1212</v>
      </c>
      <c r="B2502" s="4">
        <v>23393</v>
      </c>
      <c r="C2502" s="17">
        <v>44774</v>
      </c>
      <c r="D2502" s="4">
        <v>36</v>
      </c>
      <c r="E2502" t="str">
        <f t="shared" si="39"/>
        <v>1212-23393-44774</v>
      </c>
    </row>
    <row r="2503" spans="1:5" ht="14.25" customHeight="1">
      <c r="A2503" s="4">
        <v>1212</v>
      </c>
      <c r="B2503" s="4">
        <v>23393</v>
      </c>
      <c r="C2503" s="17">
        <v>44781</v>
      </c>
      <c r="D2503" s="4">
        <v>38</v>
      </c>
      <c r="E2503" t="str">
        <f t="shared" si="39"/>
        <v>1212-23393-44781</v>
      </c>
    </row>
    <row r="2504" spans="1:5" ht="14.25" customHeight="1">
      <c r="A2504" s="4">
        <v>1212</v>
      </c>
      <c r="B2504" s="4">
        <v>23393</v>
      </c>
      <c r="C2504" s="17">
        <v>44788</v>
      </c>
      <c r="D2504" s="4">
        <v>38</v>
      </c>
      <c r="E2504" t="str">
        <f t="shared" si="39"/>
        <v>1212-23393-44788</v>
      </c>
    </row>
    <row r="2505" spans="1:5" ht="14.25" customHeight="1">
      <c r="A2505" s="4">
        <v>1212</v>
      </c>
      <c r="B2505" s="4">
        <v>26764</v>
      </c>
      <c r="C2505" s="17">
        <v>44739</v>
      </c>
      <c r="D2505" s="4">
        <v>78</v>
      </c>
      <c r="E2505" t="str">
        <f t="shared" si="39"/>
        <v>1212-26764-44739</v>
      </c>
    </row>
    <row r="2506" spans="1:5" ht="14.25" customHeight="1">
      <c r="A2506" s="4">
        <v>1212</v>
      </c>
      <c r="B2506" s="4">
        <v>26764</v>
      </c>
      <c r="C2506" s="17">
        <v>44746</v>
      </c>
      <c r="D2506" s="4">
        <v>96</v>
      </c>
      <c r="E2506" t="str">
        <f t="shared" si="39"/>
        <v>1212-26764-44746</v>
      </c>
    </row>
    <row r="2507" spans="1:5" ht="14.25" customHeight="1">
      <c r="A2507" s="4">
        <v>1212</v>
      </c>
      <c r="B2507" s="4">
        <v>26764</v>
      </c>
      <c r="C2507" s="17">
        <v>44753</v>
      </c>
      <c r="D2507" s="4">
        <v>76</v>
      </c>
      <c r="E2507" t="str">
        <f t="shared" si="39"/>
        <v>1212-26764-44753</v>
      </c>
    </row>
    <row r="2508" spans="1:5" ht="14.25" customHeight="1">
      <c r="A2508" s="4">
        <v>1212</v>
      </c>
      <c r="B2508" s="4">
        <v>26764</v>
      </c>
      <c r="C2508" s="17">
        <v>44760</v>
      </c>
      <c r="D2508" s="4">
        <v>63</v>
      </c>
      <c r="E2508" t="str">
        <f t="shared" si="39"/>
        <v>1212-26764-44760</v>
      </c>
    </row>
    <row r="2509" spans="1:5" ht="14.25" customHeight="1">
      <c r="A2509" s="4">
        <v>1212</v>
      </c>
      <c r="B2509" s="4">
        <v>26764</v>
      </c>
      <c r="C2509" s="17">
        <v>44767</v>
      </c>
      <c r="D2509" s="4">
        <v>86</v>
      </c>
      <c r="E2509" t="str">
        <f t="shared" si="39"/>
        <v>1212-26764-44767</v>
      </c>
    </row>
    <row r="2510" spans="1:5" ht="14.25" customHeight="1">
      <c r="A2510" s="4">
        <v>1212</v>
      </c>
      <c r="B2510" s="4">
        <v>26764</v>
      </c>
      <c r="C2510" s="17">
        <v>44774</v>
      </c>
      <c r="D2510" s="4">
        <v>94</v>
      </c>
      <c r="E2510" t="str">
        <f t="shared" si="39"/>
        <v>1212-26764-44774</v>
      </c>
    </row>
    <row r="2511" spans="1:5" ht="14.25" customHeight="1">
      <c r="A2511" s="4">
        <v>1212</v>
      </c>
      <c r="B2511" s="4">
        <v>26764</v>
      </c>
      <c r="C2511" s="17">
        <v>44781</v>
      </c>
      <c r="D2511" s="4">
        <v>20</v>
      </c>
      <c r="E2511" t="str">
        <f t="shared" si="39"/>
        <v>1212-26764-44781</v>
      </c>
    </row>
    <row r="2512" spans="1:5" ht="14.25" customHeight="1">
      <c r="A2512" s="4">
        <v>1212</v>
      </c>
      <c r="B2512" s="4">
        <v>26764</v>
      </c>
      <c r="C2512" s="17">
        <v>44788</v>
      </c>
      <c r="D2512" s="4">
        <v>76</v>
      </c>
      <c r="E2512" t="str">
        <f t="shared" si="39"/>
        <v>1212-26764-44788</v>
      </c>
    </row>
    <row r="2513" spans="1:5" ht="14.25" customHeight="1">
      <c r="A2513" s="4">
        <v>1212</v>
      </c>
      <c r="B2513" s="4">
        <v>53934</v>
      </c>
      <c r="C2513" s="17">
        <v>44739</v>
      </c>
      <c r="D2513" s="4">
        <v>45</v>
      </c>
      <c r="E2513" t="str">
        <f t="shared" si="39"/>
        <v>1212-53934-44739</v>
      </c>
    </row>
    <row r="2514" spans="1:5" ht="14.25" customHeight="1">
      <c r="A2514" s="4">
        <v>1212</v>
      </c>
      <c r="B2514" s="4">
        <v>53934</v>
      </c>
      <c r="C2514" s="17">
        <v>44746</v>
      </c>
      <c r="D2514" s="4">
        <v>45</v>
      </c>
      <c r="E2514" t="str">
        <f t="shared" si="39"/>
        <v>1212-53934-44746</v>
      </c>
    </row>
    <row r="2515" spans="1:5" ht="14.25" customHeight="1">
      <c r="A2515" s="4">
        <v>1212</v>
      </c>
      <c r="B2515" s="4">
        <v>53934</v>
      </c>
      <c r="C2515" s="17">
        <v>44753</v>
      </c>
      <c r="D2515" s="4">
        <v>45</v>
      </c>
      <c r="E2515" t="str">
        <f t="shared" si="39"/>
        <v>1212-53934-44753</v>
      </c>
    </row>
    <row r="2516" spans="1:5" ht="14.25" customHeight="1">
      <c r="A2516" s="4">
        <v>1212</v>
      </c>
      <c r="B2516" s="4">
        <v>53934</v>
      </c>
      <c r="C2516" s="17">
        <v>44760</v>
      </c>
      <c r="D2516" s="4">
        <v>45</v>
      </c>
      <c r="E2516" t="str">
        <f t="shared" si="39"/>
        <v>1212-53934-44760</v>
      </c>
    </row>
    <row r="2517" spans="1:5" ht="14.25" customHeight="1">
      <c r="A2517" s="4">
        <v>1212</v>
      </c>
      <c r="B2517" s="4">
        <v>53934</v>
      </c>
      <c r="C2517" s="17">
        <v>44767</v>
      </c>
      <c r="D2517" s="4">
        <v>45</v>
      </c>
      <c r="E2517" t="str">
        <f t="shared" si="39"/>
        <v>1212-53934-44767</v>
      </c>
    </row>
    <row r="2518" spans="1:5" ht="14.25" customHeight="1">
      <c r="A2518" s="4">
        <v>1212</v>
      </c>
      <c r="B2518" s="4">
        <v>53934</v>
      </c>
      <c r="C2518" s="17">
        <v>44774</v>
      </c>
      <c r="D2518" s="4">
        <v>45</v>
      </c>
      <c r="E2518" t="str">
        <f t="shared" si="39"/>
        <v>1212-53934-44774</v>
      </c>
    </row>
    <row r="2519" spans="1:5" ht="14.25" customHeight="1">
      <c r="A2519" s="4">
        <v>1212</v>
      </c>
      <c r="B2519" s="4">
        <v>53934</v>
      </c>
      <c r="C2519" s="17">
        <v>44781</v>
      </c>
      <c r="D2519" s="4">
        <v>45</v>
      </c>
      <c r="E2519" t="str">
        <f t="shared" si="39"/>
        <v>1212-53934-44781</v>
      </c>
    </row>
    <row r="2520" spans="1:5" ht="14.25" customHeight="1">
      <c r="A2520" s="4">
        <v>1212</v>
      </c>
      <c r="B2520" s="4">
        <v>53934</v>
      </c>
      <c r="C2520" s="17">
        <v>44788</v>
      </c>
      <c r="D2520" s="4">
        <v>45</v>
      </c>
      <c r="E2520" t="str">
        <f t="shared" si="39"/>
        <v>1212-53934-44788</v>
      </c>
    </row>
    <row r="2521" spans="1:5" ht="14.25" customHeight="1">
      <c r="A2521" s="4">
        <v>1212</v>
      </c>
      <c r="B2521" s="4">
        <v>78699</v>
      </c>
      <c r="C2521" s="17">
        <v>44739</v>
      </c>
      <c r="D2521" s="4">
        <v>6</v>
      </c>
      <c r="E2521" t="str">
        <f t="shared" si="39"/>
        <v>1212-78699-44739</v>
      </c>
    </row>
    <row r="2522" spans="1:5" ht="14.25" customHeight="1">
      <c r="A2522" s="4">
        <v>1212</v>
      </c>
      <c r="B2522" s="4">
        <v>78699</v>
      </c>
      <c r="C2522" s="17">
        <v>44746</v>
      </c>
      <c r="D2522" s="4">
        <v>6</v>
      </c>
      <c r="E2522" t="str">
        <f t="shared" si="39"/>
        <v>1212-78699-44746</v>
      </c>
    </row>
    <row r="2523" spans="1:5" ht="14.25" customHeight="1">
      <c r="A2523" s="4">
        <v>1212</v>
      </c>
      <c r="B2523" s="4">
        <v>78699</v>
      </c>
      <c r="C2523" s="17">
        <v>44753</v>
      </c>
      <c r="D2523" s="4">
        <v>6</v>
      </c>
      <c r="E2523" t="str">
        <f t="shared" si="39"/>
        <v>1212-78699-44753</v>
      </c>
    </row>
    <row r="2524" spans="1:5" ht="14.25" customHeight="1">
      <c r="A2524" s="4">
        <v>1212</v>
      </c>
      <c r="B2524" s="4">
        <v>78699</v>
      </c>
      <c r="C2524" s="17">
        <v>44760</v>
      </c>
      <c r="D2524" s="4">
        <v>6</v>
      </c>
      <c r="E2524" t="str">
        <f t="shared" si="39"/>
        <v>1212-78699-44760</v>
      </c>
    </row>
    <row r="2525" spans="1:5" ht="14.25" customHeight="1">
      <c r="A2525" s="4">
        <v>1212</v>
      </c>
      <c r="B2525" s="4">
        <v>78699</v>
      </c>
      <c r="C2525" s="17">
        <v>44767</v>
      </c>
      <c r="D2525" s="4">
        <v>6</v>
      </c>
      <c r="E2525" t="str">
        <f t="shared" si="39"/>
        <v>1212-78699-44767</v>
      </c>
    </row>
    <row r="2526" spans="1:5" ht="14.25" customHeight="1">
      <c r="A2526" s="4">
        <v>1212</v>
      </c>
      <c r="B2526" s="4">
        <v>78699</v>
      </c>
      <c r="C2526" s="17">
        <v>44774</v>
      </c>
      <c r="D2526" s="4">
        <v>6</v>
      </c>
      <c r="E2526" t="str">
        <f t="shared" si="39"/>
        <v>1212-78699-44774</v>
      </c>
    </row>
    <row r="2527" spans="1:5" ht="14.25" customHeight="1">
      <c r="A2527" s="4">
        <v>1212</v>
      </c>
      <c r="B2527" s="4">
        <v>78699</v>
      </c>
      <c r="C2527" s="17">
        <v>44781</v>
      </c>
      <c r="D2527" s="4">
        <v>6</v>
      </c>
      <c r="E2527" t="str">
        <f t="shared" si="39"/>
        <v>1212-78699-44781</v>
      </c>
    </row>
    <row r="2528" spans="1:5" ht="14.25" customHeight="1">
      <c r="A2528" s="4">
        <v>1212</v>
      </c>
      <c r="B2528" s="4">
        <v>78699</v>
      </c>
      <c r="C2528" s="17">
        <v>44788</v>
      </c>
      <c r="D2528" s="4">
        <v>6</v>
      </c>
      <c r="E2528" t="str">
        <f t="shared" si="39"/>
        <v>1212-78699-44788</v>
      </c>
    </row>
    <row r="2529" spans="1:5" ht="14.25" customHeight="1">
      <c r="A2529" s="4">
        <v>1212</v>
      </c>
      <c r="B2529" s="4">
        <v>78869</v>
      </c>
      <c r="C2529" s="17">
        <v>44739</v>
      </c>
      <c r="D2529" s="4">
        <v>15</v>
      </c>
      <c r="E2529" t="str">
        <f t="shared" si="39"/>
        <v>1212-78869-44739</v>
      </c>
    </row>
    <row r="2530" spans="1:5" ht="14.25" customHeight="1">
      <c r="A2530" s="4">
        <v>1212</v>
      </c>
      <c r="B2530" s="4">
        <v>78869</v>
      </c>
      <c r="C2530" s="17">
        <v>44746</v>
      </c>
      <c r="D2530" s="4">
        <v>12</v>
      </c>
      <c r="E2530" t="str">
        <f t="shared" si="39"/>
        <v>1212-78869-44746</v>
      </c>
    </row>
    <row r="2531" spans="1:5" ht="14.25" customHeight="1">
      <c r="A2531" s="4">
        <v>1212</v>
      </c>
      <c r="B2531" s="4">
        <v>78869</v>
      </c>
      <c r="C2531" s="17">
        <v>44753</v>
      </c>
      <c r="D2531" s="4">
        <v>13</v>
      </c>
      <c r="E2531" t="str">
        <f t="shared" si="39"/>
        <v>1212-78869-44753</v>
      </c>
    </row>
    <row r="2532" spans="1:5" ht="14.25" customHeight="1">
      <c r="A2532" s="4">
        <v>1212</v>
      </c>
      <c r="B2532" s="4">
        <v>78869</v>
      </c>
      <c r="C2532" s="17">
        <v>44760</v>
      </c>
      <c r="D2532" s="4">
        <v>12</v>
      </c>
      <c r="E2532" t="str">
        <f t="shared" si="39"/>
        <v>1212-78869-44760</v>
      </c>
    </row>
    <row r="2533" spans="1:5" ht="14.25" customHeight="1">
      <c r="A2533" s="4">
        <v>1212</v>
      </c>
      <c r="B2533" s="4">
        <v>78869</v>
      </c>
      <c r="C2533" s="17">
        <v>44767</v>
      </c>
      <c r="D2533" s="4">
        <v>6</v>
      </c>
      <c r="E2533" t="str">
        <f t="shared" si="39"/>
        <v>1212-78869-44767</v>
      </c>
    </row>
    <row r="2534" spans="1:5" ht="14.25" customHeight="1">
      <c r="A2534" s="4">
        <v>1212</v>
      </c>
      <c r="B2534" s="4">
        <v>78869</v>
      </c>
      <c r="C2534" s="17">
        <v>44774</v>
      </c>
      <c r="D2534" s="4">
        <v>12</v>
      </c>
      <c r="E2534" t="str">
        <f t="shared" si="39"/>
        <v>1212-78869-44774</v>
      </c>
    </row>
    <row r="2535" spans="1:5" ht="14.25" customHeight="1">
      <c r="A2535" s="4">
        <v>1212</v>
      </c>
      <c r="B2535" s="4">
        <v>78869</v>
      </c>
      <c r="C2535" s="17">
        <v>44781</v>
      </c>
      <c r="D2535" s="4">
        <v>12</v>
      </c>
      <c r="E2535" t="str">
        <f t="shared" si="39"/>
        <v>1212-78869-44781</v>
      </c>
    </row>
    <row r="2536" spans="1:5" ht="14.25" customHeight="1">
      <c r="A2536" s="4">
        <v>1212</v>
      </c>
      <c r="B2536" s="4">
        <v>78869</v>
      </c>
      <c r="C2536" s="17">
        <v>44788</v>
      </c>
      <c r="D2536" s="4">
        <v>6</v>
      </c>
      <c r="E2536" t="str">
        <f t="shared" si="39"/>
        <v>1212-78869-44788</v>
      </c>
    </row>
    <row r="2537" spans="1:5" ht="14.25" customHeight="1">
      <c r="A2537" s="4">
        <v>1212</v>
      </c>
      <c r="B2537" s="4">
        <v>141626</v>
      </c>
      <c r="C2537" s="17">
        <v>44739</v>
      </c>
      <c r="D2537" s="4">
        <v>27</v>
      </c>
      <c r="E2537" t="str">
        <f t="shared" si="39"/>
        <v>1212-141626-44739</v>
      </c>
    </row>
    <row r="2538" spans="1:5" ht="14.25" customHeight="1">
      <c r="A2538" s="4">
        <v>1212</v>
      </c>
      <c r="B2538" s="4">
        <v>141626</v>
      </c>
      <c r="C2538" s="17">
        <v>44746</v>
      </c>
      <c r="D2538" s="4">
        <v>24</v>
      </c>
      <c r="E2538" t="str">
        <f t="shared" si="39"/>
        <v>1212-141626-44746</v>
      </c>
    </row>
    <row r="2539" spans="1:5" ht="14.25" customHeight="1">
      <c r="A2539" s="4">
        <v>1212</v>
      </c>
      <c r="B2539" s="4">
        <v>141626</v>
      </c>
      <c r="C2539" s="17">
        <v>44753</v>
      </c>
      <c r="D2539" s="4">
        <v>26</v>
      </c>
      <c r="E2539" t="str">
        <f t="shared" si="39"/>
        <v>1212-141626-44753</v>
      </c>
    </row>
    <row r="2540" spans="1:5" ht="14.25" customHeight="1">
      <c r="A2540" s="4">
        <v>1212</v>
      </c>
      <c r="B2540" s="4">
        <v>141626</v>
      </c>
      <c r="C2540" s="17">
        <v>44760</v>
      </c>
      <c r="D2540" s="4">
        <v>24</v>
      </c>
      <c r="E2540" t="str">
        <f t="shared" si="39"/>
        <v>1212-141626-44760</v>
      </c>
    </row>
    <row r="2541" spans="1:5" ht="14.25" customHeight="1">
      <c r="A2541" s="4">
        <v>1212</v>
      </c>
      <c r="B2541" s="4">
        <v>141626</v>
      </c>
      <c r="C2541" s="17">
        <v>44767</v>
      </c>
      <c r="D2541" s="4">
        <v>30</v>
      </c>
      <c r="E2541" t="str">
        <f t="shared" si="39"/>
        <v>1212-141626-44767</v>
      </c>
    </row>
    <row r="2542" spans="1:5" ht="14.25" customHeight="1">
      <c r="A2542" s="4">
        <v>1212</v>
      </c>
      <c r="B2542" s="4">
        <v>141626</v>
      </c>
      <c r="C2542" s="17">
        <v>44774</v>
      </c>
      <c r="D2542" s="4">
        <v>26</v>
      </c>
      <c r="E2542" t="str">
        <f t="shared" si="39"/>
        <v>1212-141626-44774</v>
      </c>
    </row>
    <row r="2543" spans="1:5" ht="14.25" customHeight="1">
      <c r="A2543" s="4">
        <v>1212</v>
      </c>
      <c r="B2543" s="4">
        <v>141626</v>
      </c>
      <c r="C2543" s="17">
        <v>44781</v>
      </c>
      <c r="D2543" s="4">
        <v>10</v>
      </c>
      <c r="E2543" t="str">
        <f t="shared" si="39"/>
        <v>1212-141626-44781</v>
      </c>
    </row>
    <row r="2544" spans="1:5" ht="14.25" customHeight="1">
      <c r="A2544" s="4">
        <v>1212</v>
      </c>
      <c r="B2544" s="4">
        <v>141626</v>
      </c>
      <c r="C2544" s="17">
        <v>44788</v>
      </c>
      <c r="D2544" s="4">
        <v>29</v>
      </c>
      <c r="E2544" t="str">
        <f t="shared" si="39"/>
        <v>1212-141626-44788</v>
      </c>
    </row>
    <row r="2545" spans="1:5" ht="14.25" customHeight="1">
      <c r="A2545" s="4">
        <v>1212</v>
      </c>
      <c r="B2545" s="4">
        <v>141791</v>
      </c>
      <c r="C2545" s="17">
        <v>44739</v>
      </c>
      <c r="D2545" s="4">
        <v>3</v>
      </c>
      <c r="E2545" t="str">
        <f t="shared" si="39"/>
        <v>1212-141791-44739</v>
      </c>
    </row>
    <row r="2546" spans="1:5" ht="14.25" customHeight="1">
      <c r="A2546" s="4">
        <v>1212</v>
      </c>
      <c r="B2546" s="4">
        <v>141791</v>
      </c>
      <c r="C2546" s="17">
        <v>44746</v>
      </c>
      <c r="D2546" s="4">
        <v>3</v>
      </c>
      <c r="E2546" t="str">
        <f t="shared" si="39"/>
        <v>1212-141791-44746</v>
      </c>
    </row>
    <row r="2547" spans="1:5" ht="14.25" customHeight="1">
      <c r="A2547" s="4">
        <v>1212</v>
      </c>
      <c r="B2547" s="4">
        <v>141791</v>
      </c>
      <c r="C2547" s="17">
        <v>44753</v>
      </c>
      <c r="D2547" s="4">
        <v>3</v>
      </c>
      <c r="E2547" t="str">
        <f t="shared" si="39"/>
        <v>1212-141791-44753</v>
      </c>
    </row>
    <row r="2548" spans="1:5" ht="14.25" customHeight="1">
      <c r="A2548" s="4">
        <v>1212</v>
      </c>
      <c r="B2548" s="4">
        <v>141791</v>
      </c>
      <c r="C2548" s="17">
        <v>44760</v>
      </c>
      <c r="D2548" s="4">
        <v>3</v>
      </c>
      <c r="E2548" t="str">
        <f t="shared" si="39"/>
        <v>1212-141791-44760</v>
      </c>
    </row>
    <row r="2549" spans="1:5" ht="14.25" customHeight="1">
      <c r="A2549" s="4">
        <v>1212</v>
      </c>
      <c r="B2549" s="4">
        <v>141791</v>
      </c>
      <c r="C2549" s="17">
        <v>44767</v>
      </c>
      <c r="D2549" s="4">
        <v>3</v>
      </c>
      <c r="E2549" t="str">
        <f t="shared" si="39"/>
        <v>1212-141791-44767</v>
      </c>
    </row>
    <row r="2550" spans="1:5" ht="14.25" customHeight="1">
      <c r="A2550" s="4">
        <v>1212</v>
      </c>
      <c r="B2550" s="4">
        <v>141791</v>
      </c>
      <c r="C2550" s="17">
        <v>44774</v>
      </c>
      <c r="D2550" s="4">
        <v>3</v>
      </c>
      <c r="E2550" t="str">
        <f t="shared" si="39"/>
        <v>1212-141791-44774</v>
      </c>
    </row>
    <row r="2551" spans="1:5" ht="14.25" customHeight="1">
      <c r="A2551" s="4">
        <v>1212</v>
      </c>
      <c r="B2551" s="4">
        <v>141791</v>
      </c>
      <c r="C2551" s="17">
        <v>44781</v>
      </c>
      <c r="D2551" s="4">
        <v>3</v>
      </c>
      <c r="E2551" t="str">
        <f t="shared" si="39"/>
        <v>1212-141791-44781</v>
      </c>
    </row>
    <row r="2552" spans="1:5" ht="14.25" customHeight="1">
      <c r="A2552" s="4">
        <v>1212</v>
      </c>
      <c r="B2552" s="4">
        <v>141791</v>
      </c>
      <c r="C2552" s="17">
        <v>44788</v>
      </c>
      <c r="D2552" s="4">
        <v>3</v>
      </c>
      <c r="E2552" t="str">
        <f t="shared" si="39"/>
        <v>1212-141791-44788</v>
      </c>
    </row>
    <row r="2553" spans="1:5" ht="14.25" customHeight="1">
      <c r="A2553" s="4">
        <v>1212</v>
      </c>
      <c r="B2553" s="4">
        <v>141967</v>
      </c>
      <c r="C2553" s="17">
        <v>44739</v>
      </c>
      <c r="D2553" s="4">
        <v>3</v>
      </c>
      <c r="E2553" t="str">
        <f t="shared" si="39"/>
        <v>1212-141967-44739</v>
      </c>
    </row>
    <row r="2554" spans="1:5" ht="14.25" customHeight="1">
      <c r="A2554" s="4">
        <v>1212</v>
      </c>
      <c r="B2554" s="4">
        <v>141967</v>
      </c>
      <c r="C2554" s="17">
        <v>44746</v>
      </c>
      <c r="D2554" s="4">
        <v>3</v>
      </c>
      <c r="E2554" t="str">
        <f t="shared" si="39"/>
        <v>1212-141967-44746</v>
      </c>
    </row>
    <row r="2555" spans="1:5" ht="14.25" customHeight="1">
      <c r="A2555" s="4">
        <v>1212</v>
      </c>
      <c r="B2555" s="4">
        <v>141967</v>
      </c>
      <c r="C2555" s="17">
        <v>44753</v>
      </c>
      <c r="D2555" s="4">
        <v>3</v>
      </c>
      <c r="E2555" t="str">
        <f t="shared" si="39"/>
        <v>1212-141967-44753</v>
      </c>
    </row>
    <row r="2556" spans="1:5" ht="14.25" customHeight="1">
      <c r="A2556" s="4">
        <v>1212</v>
      </c>
      <c r="B2556" s="4">
        <v>141967</v>
      </c>
      <c r="C2556" s="17">
        <v>44760</v>
      </c>
      <c r="D2556" s="4">
        <v>3</v>
      </c>
      <c r="E2556" t="str">
        <f t="shared" si="39"/>
        <v>1212-141967-44760</v>
      </c>
    </row>
    <row r="2557" spans="1:5" ht="14.25" customHeight="1">
      <c r="A2557" s="4">
        <v>1212</v>
      </c>
      <c r="B2557" s="4">
        <v>141967</v>
      </c>
      <c r="C2557" s="17">
        <v>44767</v>
      </c>
      <c r="D2557" s="4">
        <v>3</v>
      </c>
      <c r="E2557" t="str">
        <f t="shared" si="39"/>
        <v>1212-141967-44767</v>
      </c>
    </row>
    <row r="2558" spans="1:5" ht="14.25" customHeight="1">
      <c r="A2558" s="4">
        <v>1212</v>
      </c>
      <c r="B2558" s="4">
        <v>141967</v>
      </c>
      <c r="C2558" s="17">
        <v>44774</v>
      </c>
      <c r="D2558" s="4">
        <v>3</v>
      </c>
      <c r="E2558" t="str">
        <f t="shared" si="39"/>
        <v>1212-141967-44774</v>
      </c>
    </row>
    <row r="2559" spans="1:5" ht="14.25" customHeight="1">
      <c r="A2559" s="4">
        <v>1212</v>
      </c>
      <c r="B2559" s="4">
        <v>141967</v>
      </c>
      <c r="C2559" s="17">
        <v>44781</v>
      </c>
      <c r="D2559" s="4">
        <v>3</v>
      </c>
      <c r="E2559" t="str">
        <f t="shared" si="39"/>
        <v>1212-141967-44781</v>
      </c>
    </row>
    <row r="2560" spans="1:5" ht="14.25" customHeight="1">
      <c r="A2560" s="4">
        <v>1212</v>
      </c>
      <c r="B2560" s="4">
        <v>141967</v>
      </c>
      <c r="C2560" s="17">
        <v>44788</v>
      </c>
      <c r="D2560" s="4">
        <v>3</v>
      </c>
      <c r="E2560" t="str">
        <f t="shared" si="39"/>
        <v>1212-141967-44788</v>
      </c>
    </row>
    <row r="2561" spans="1:5" ht="14.25" customHeight="1">
      <c r="A2561" s="4">
        <v>1212</v>
      </c>
      <c r="B2561" s="4">
        <v>142194</v>
      </c>
      <c r="C2561" s="17">
        <v>44739</v>
      </c>
      <c r="D2561" s="4">
        <v>3</v>
      </c>
      <c r="E2561" t="str">
        <f t="shared" si="39"/>
        <v>1212-142194-44739</v>
      </c>
    </row>
    <row r="2562" spans="1:5" ht="14.25" customHeight="1">
      <c r="A2562" s="4">
        <v>1212</v>
      </c>
      <c r="B2562" s="4">
        <v>142194</v>
      </c>
      <c r="C2562" s="17">
        <v>44746</v>
      </c>
      <c r="D2562" s="4">
        <v>3</v>
      </c>
      <c r="E2562" t="str">
        <f t="shared" si="39"/>
        <v>1212-142194-44746</v>
      </c>
    </row>
    <row r="2563" spans="1:5" ht="14.25" customHeight="1">
      <c r="A2563" s="4">
        <v>1212</v>
      </c>
      <c r="B2563" s="4">
        <v>142194</v>
      </c>
      <c r="C2563" s="17">
        <v>44753</v>
      </c>
      <c r="D2563" s="4">
        <v>3</v>
      </c>
      <c r="E2563" t="str">
        <f t="shared" ref="E2563:E2626" si="40">A2563&amp;"-"&amp;B2563&amp;"-"&amp;INT(C2563)</f>
        <v>1212-142194-44753</v>
      </c>
    </row>
    <row r="2564" spans="1:5" ht="14.25" customHeight="1">
      <c r="A2564" s="4">
        <v>1212</v>
      </c>
      <c r="B2564" s="4">
        <v>142194</v>
      </c>
      <c r="C2564" s="17">
        <v>44760</v>
      </c>
      <c r="D2564" s="4">
        <v>3</v>
      </c>
      <c r="E2564" t="str">
        <f t="shared" si="40"/>
        <v>1212-142194-44760</v>
      </c>
    </row>
    <row r="2565" spans="1:5" ht="14.25" customHeight="1">
      <c r="A2565" s="4">
        <v>1212</v>
      </c>
      <c r="B2565" s="4">
        <v>142194</v>
      </c>
      <c r="C2565" s="17">
        <v>44767</v>
      </c>
      <c r="D2565" s="4">
        <v>3</v>
      </c>
      <c r="E2565" t="str">
        <f t="shared" si="40"/>
        <v>1212-142194-44767</v>
      </c>
    </row>
    <row r="2566" spans="1:5" ht="14.25" customHeight="1">
      <c r="A2566" s="4">
        <v>1212</v>
      </c>
      <c r="B2566" s="4">
        <v>142194</v>
      </c>
      <c r="C2566" s="17">
        <v>44774</v>
      </c>
      <c r="D2566" s="4">
        <v>3</v>
      </c>
      <c r="E2566" t="str">
        <f t="shared" si="40"/>
        <v>1212-142194-44774</v>
      </c>
    </row>
    <row r="2567" spans="1:5" ht="14.25" customHeight="1">
      <c r="A2567" s="4">
        <v>1212</v>
      </c>
      <c r="B2567" s="4">
        <v>142194</v>
      </c>
      <c r="C2567" s="17">
        <v>44781</v>
      </c>
      <c r="D2567" s="4">
        <v>3</v>
      </c>
      <c r="E2567" t="str">
        <f t="shared" si="40"/>
        <v>1212-142194-44781</v>
      </c>
    </row>
    <row r="2568" spans="1:5" ht="14.25" customHeight="1">
      <c r="A2568" s="4">
        <v>1212</v>
      </c>
      <c r="B2568" s="4">
        <v>142194</v>
      </c>
      <c r="C2568" s="17">
        <v>44788</v>
      </c>
      <c r="D2568" s="4">
        <v>3</v>
      </c>
      <c r="E2568" t="str">
        <f t="shared" si="40"/>
        <v>1212-142194-44788</v>
      </c>
    </row>
    <row r="2569" spans="1:5" ht="14.25" customHeight="1">
      <c r="A2569" s="4">
        <v>1212</v>
      </c>
      <c r="B2569" s="4">
        <v>149729</v>
      </c>
      <c r="C2569" s="17">
        <v>44739</v>
      </c>
      <c r="D2569" s="4">
        <v>40</v>
      </c>
      <c r="E2569" t="str">
        <f t="shared" si="40"/>
        <v>1212-149729-44739</v>
      </c>
    </row>
    <row r="2570" spans="1:5" ht="14.25" customHeight="1">
      <c r="A2570" s="4">
        <v>1212</v>
      </c>
      <c r="B2570" s="4">
        <v>149729</v>
      </c>
      <c r="C2570" s="17">
        <v>44746</v>
      </c>
      <c r="D2570" s="4">
        <v>33</v>
      </c>
      <c r="E2570" t="str">
        <f t="shared" si="40"/>
        <v>1212-149729-44746</v>
      </c>
    </row>
    <row r="2571" spans="1:5" ht="14.25" customHeight="1">
      <c r="A2571" s="4">
        <v>1212</v>
      </c>
      <c r="B2571" s="4">
        <v>149729</v>
      </c>
      <c r="C2571" s="17">
        <v>44753</v>
      </c>
      <c r="D2571" s="4">
        <v>6</v>
      </c>
      <c r="E2571" t="str">
        <f t="shared" si="40"/>
        <v>1212-149729-44753</v>
      </c>
    </row>
    <row r="2572" spans="1:5" ht="14.25" customHeight="1">
      <c r="A2572" s="4">
        <v>1212</v>
      </c>
      <c r="B2572" s="4">
        <v>149729</v>
      </c>
      <c r="C2572" s="17">
        <v>44760</v>
      </c>
      <c r="D2572" s="4">
        <v>31</v>
      </c>
      <c r="E2572" t="str">
        <f t="shared" si="40"/>
        <v>1212-149729-44760</v>
      </c>
    </row>
    <row r="2573" spans="1:5" ht="14.25" customHeight="1">
      <c r="A2573" s="4">
        <v>1212</v>
      </c>
      <c r="B2573" s="4">
        <v>149729</v>
      </c>
      <c r="C2573" s="17">
        <v>44767</v>
      </c>
      <c r="D2573" s="4">
        <v>41</v>
      </c>
      <c r="E2573" t="str">
        <f t="shared" si="40"/>
        <v>1212-149729-44767</v>
      </c>
    </row>
    <row r="2574" spans="1:5" ht="14.25" customHeight="1">
      <c r="A2574" s="4">
        <v>1212</v>
      </c>
      <c r="B2574" s="4">
        <v>149729</v>
      </c>
      <c r="C2574" s="17">
        <v>44774</v>
      </c>
      <c r="D2574" s="4">
        <v>27</v>
      </c>
      <c r="E2574" t="str">
        <f t="shared" si="40"/>
        <v>1212-149729-44774</v>
      </c>
    </row>
    <row r="2575" spans="1:5" ht="14.25" customHeight="1">
      <c r="A2575" s="4">
        <v>1212</v>
      </c>
      <c r="B2575" s="4">
        <v>149729</v>
      </c>
      <c r="C2575" s="17">
        <v>44781</v>
      </c>
      <c r="D2575" s="4">
        <v>15</v>
      </c>
      <c r="E2575" t="str">
        <f t="shared" si="40"/>
        <v>1212-149729-44781</v>
      </c>
    </row>
    <row r="2576" spans="1:5" ht="14.25" customHeight="1">
      <c r="A2576" s="4">
        <v>1212</v>
      </c>
      <c r="B2576" s="4">
        <v>149729</v>
      </c>
      <c r="C2576" s="17">
        <v>44788</v>
      </c>
      <c r="D2576" s="4">
        <v>7</v>
      </c>
      <c r="E2576" t="str">
        <f t="shared" si="40"/>
        <v>1212-149729-44788</v>
      </c>
    </row>
    <row r="2577" spans="1:5" ht="14.25" customHeight="1">
      <c r="A2577" s="4">
        <v>1212</v>
      </c>
      <c r="B2577" s="4">
        <v>149779</v>
      </c>
      <c r="C2577" s="17">
        <v>44739</v>
      </c>
      <c r="D2577" s="4">
        <v>44</v>
      </c>
      <c r="E2577" t="str">
        <f t="shared" si="40"/>
        <v>1212-149779-44739</v>
      </c>
    </row>
    <row r="2578" spans="1:5" ht="14.25" customHeight="1">
      <c r="A2578" s="4">
        <v>1212</v>
      </c>
      <c r="B2578" s="4">
        <v>149779</v>
      </c>
      <c r="C2578" s="17">
        <v>44746</v>
      </c>
      <c r="D2578" s="4">
        <v>43</v>
      </c>
      <c r="E2578" t="str">
        <f t="shared" si="40"/>
        <v>1212-149779-44746</v>
      </c>
    </row>
    <row r="2579" spans="1:5" ht="14.25" customHeight="1">
      <c r="A2579" s="4">
        <v>1212</v>
      </c>
      <c r="B2579" s="4">
        <v>149779</v>
      </c>
      <c r="C2579" s="17">
        <v>44753</v>
      </c>
      <c r="D2579" s="4">
        <v>14</v>
      </c>
      <c r="E2579" t="str">
        <f t="shared" si="40"/>
        <v>1212-149779-44753</v>
      </c>
    </row>
    <row r="2580" spans="1:5" ht="14.25" customHeight="1">
      <c r="A2580" s="4">
        <v>1212</v>
      </c>
      <c r="B2580" s="4">
        <v>149779</v>
      </c>
      <c r="C2580" s="17">
        <v>44760</v>
      </c>
      <c r="D2580" s="4">
        <v>35</v>
      </c>
      <c r="E2580" t="str">
        <f t="shared" si="40"/>
        <v>1212-149779-44760</v>
      </c>
    </row>
    <row r="2581" spans="1:5" ht="14.25" customHeight="1">
      <c r="A2581" s="4">
        <v>1212</v>
      </c>
      <c r="B2581" s="4">
        <v>149779</v>
      </c>
      <c r="C2581" s="17">
        <v>44767</v>
      </c>
      <c r="D2581" s="4">
        <v>40</v>
      </c>
      <c r="E2581" t="str">
        <f t="shared" si="40"/>
        <v>1212-149779-44767</v>
      </c>
    </row>
    <row r="2582" spans="1:5" ht="14.25" customHeight="1">
      <c r="A2582" s="4">
        <v>1212</v>
      </c>
      <c r="B2582" s="4">
        <v>149779</v>
      </c>
      <c r="C2582" s="17">
        <v>44774</v>
      </c>
      <c r="D2582" s="4">
        <v>38</v>
      </c>
      <c r="E2582" t="str">
        <f t="shared" si="40"/>
        <v>1212-149779-44774</v>
      </c>
    </row>
    <row r="2583" spans="1:5" ht="14.25" customHeight="1">
      <c r="A2583" s="4">
        <v>1212</v>
      </c>
      <c r="B2583" s="4">
        <v>149779</v>
      </c>
      <c r="C2583" s="17">
        <v>44781</v>
      </c>
      <c r="D2583" s="4">
        <v>12</v>
      </c>
      <c r="E2583" t="str">
        <f t="shared" si="40"/>
        <v>1212-149779-44781</v>
      </c>
    </row>
    <row r="2584" spans="1:5" ht="14.25" customHeight="1">
      <c r="A2584" s="4">
        <v>1212</v>
      </c>
      <c r="B2584" s="4">
        <v>149779</v>
      </c>
      <c r="C2584" s="17">
        <v>44788</v>
      </c>
      <c r="D2584" s="4">
        <v>15</v>
      </c>
      <c r="E2584" t="str">
        <f t="shared" si="40"/>
        <v>1212-149779-44788</v>
      </c>
    </row>
    <row r="2585" spans="1:5" ht="14.25" customHeight="1">
      <c r="A2585" s="4">
        <v>1212</v>
      </c>
      <c r="B2585" s="4">
        <v>202577</v>
      </c>
      <c r="C2585" s="17">
        <v>44739</v>
      </c>
      <c r="D2585" s="4">
        <v>5</v>
      </c>
      <c r="E2585" t="str">
        <f t="shared" si="40"/>
        <v>1212-202577-44739</v>
      </c>
    </row>
    <row r="2586" spans="1:5" ht="14.25" customHeight="1">
      <c r="A2586" s="4">
        <v>1212</v>
      </c>
      <c r="B2586" s="4">
        <v>202577</v>
      </c>
      <c r="C2586" s="17">
        <v>44746</v>
      </c>
      <c r="D2586" s="4">
        <v>5</v>
      </c>
      <c r="E2586" t="str">
        <f t="shared" si="40"/>
        <v>1212-202577-44746</v>
      </c>
    </row>
    <row r="2587" spans="1:5" ht="14.25" customHeight="1">
      <c r="A2587" s="4">
        <v>1212</v>
      </c>
      <c r="B2587" s="4">
        <v>202577</v>
      </c>
      <c r="C2587" s="17">
        <v>44753</v>
      </c>
      <c r="D2587" s="4">
        <v>9</v>
      </c>
      <c r="E2587" t="str">
        <f t="shared" si="40"/>
        <v>1212-202577-44753</v>
      </c>
    </row>
    <row r="2588" spans="1:5" ht="14.25" customHeight="1">
      <c r="A2588" s="4">
        <v>1212</v>
      </c>
      <c r="B2588" s="4">
        <v>202577</v>
      </c>
      <c r="C2588" s="17">
        <v>44760</v>
      </c>
      <c r="D2588" s="4">
        <v>15</v>
      </c>
      <c r="E2588" t="str">
        <f t="shared" si="40"/>
        <v>1212-202577-44760</v>
      </c>
    </row>
    <row r="2589" spans="1:5" ht="14.25" customHeight="1">
      <c r="A2589" s="4">
        <v>1212</v>
      </c>
      <c r="B2589" s="4">
        <v>202577</v>
      </c>
      <c r="C2589" s="17">
        <v>44767</v>
      </c>
      <c r="D2589" s="4">
        <v>12</v>
      </c>
      <c r="E2589" t="str">
        <f t="shared" si="40"/>
        <v>1212-202577-44767</v>
      </c>
    </row>
    <row r="2590" spans="1:5" ht="14.25" customHeight="1">
      <c r="A2590" s="4">
        <v>1212</v>
      </c>
      <c r="B2590" s="4">
        <v>202577</v>
      </c>
      <c r="C2590" s="17">
        <v>44774</v>
      </c>
      <c r="D2590" s="4">
        <v>12</v>
      </c>
      <c r="E2590" t="str">
        <f t="shared" si="40"/>
        <v>1212-202577-44774</v>
      </c>
    </row>
    <row r="2591" spans="1:5" ht="14.25" customHeight="1">
      <c r="A2591" s="4">
        <v>1212</v>
      </c>
      <c r="B2591" s="4">
        <v>202577</v>
      </c>
      <c r="C2591" s="17">
        <v>44781</v>
      </c>
      <c r="D2591" s="4">
        <v>15</v>
      </c>
      <c r="E2591" t="str">
        <f t="shared" si="40"/>
        <v>1212-202577-44781</v>
      </c>
    </row>
    <row r="2592" spans="1:5" ht="14.25" customHeight="1">
      <c r="A2592" s="4">
        <v>1212</v>
      </c>
      <c r="B2592" s="4">
        <v>202577</v>
      </c>
      <c r="C2592" s="17">
        <v>44788</v>
      </c>
      <c r="D2592" s="4">
        <v>13</v>
      </c>
      <c r="E2592" t="str">
        <f t="shared" si="40"/>
        <v>1212-202577-44788</v>
      </c>
    </row>
    <row r="2593" spans="1:5" ht="14.25" customHeight="1">
      <c r="A2593" s="4">
        <v>1212</v>
      </c>
      <c r="B2593" s="4">
        <v>234334</v>
      </c>
      <c r="C2593" s="17">
        <v>44739</v>
      </c>
      <c r="D2593" s="4">
        <v>53</v>
      </c>
      <c r="E2593" t="str">
        <f t="shared" si="40"/>
        <v>1212-234334-44739</v>
      </c>
    </row>
    <row r="2594" spans="1:5" ht="14.25" customHeight="1">
      <c r="A2594" s="4">
        <v>1212</v>
      </c>
      <c r="B2594" s="4">
        <v>234334</v>
      </c>
      <c r="C2594" s="17">
        <v>44746</v>
      </c>
      <c r="D2594" s="4">
        <v>30</v>
      </c>
      <c r="E2594" t="str">
        <f t="shared" si="40"/>
        <v>1212-234334-44746</v>
      </c>
    </row>
    <row r="2595" spans="1:5" ht="14.25" customHeight="1">
      <c r="A2595" s="4">
        <v>1212</v>
      </c>
      <c r="B2595" s="4">
        <v>234334</v>
      </c>
      <c r="C2595" s="17">
        <v>44753</v>
      </c>
      <c r="D2595" s="4">
        <v>50</v>
      </c>
      <c r="E2595" t="str">
        <f t="shared" si="40"/>
        <v>1212-234334-44753</v>
      </c>
    </row>
    <row r="2596" spans="1:5" ht="14.25" customHeight="1">
      <c r="A2596" s="4">
        <v>1212</v>
      </c>
      <c r="B2596" s="4">
        <v>234334</v>
      </c>
      <c r="C2596" s="17">
        <v>44760</v>
      </c>
      <c r="D2596" s="4">
        <v>54</v>
      </c>
      <c r="E2596" t="str">
        <f t="shared" si="40"/>
        <v>1212-234334-44760</v>
      </c>
    </row>
    <row r="2597" spans="1:5" ht="14.25" customHeight="1">
      <c r="A2597" s="4">
        <v>1212</v>
      </c>
      <c r="B2597" s="4">
        <v>234334</v>
      </c>
      <c r="C2597" s="17">
        <v>44767</v>
      </c>
      <c r="D2597" s="4">
        <v>50</v>
      </c>
      <c r="E2597" t="str">
        <f t="shared" si="40"/>
        <v>1212-234334-44767</v>
      </c>
    </row>
    <row r="2598" spans="1:5" ht="14.25" customHeight="1">
      <c r="A2598" s="4">
        <v>1212</v>
      </c>
      <c r="B2598" s="4">
        <v>234334</v>
      </c>
      <c r="C2598" s="17">
        <v>44774</v>
      </c>
      <c r="D2598" s="4">
        <v>50</v>
      </c>
      <c r="E2598" t="str">
        <f t="shared" si="40"/>
        <v>1212-234334-44774</v>
      </c>
    </row>
    <row r="2599" spans="1:5" ht="14.25" customHeight="1">
      <c r="A2599" s="4">
        <v>1212</v>
      </c>
      <c r="B2599" s="4">
        <v>234334</v>
      </c>
      <c r="C2599" s="17">
        <v>44781</v>
      </c>
      <c r="D2599" s="4">
        <v>42</v>
      </c>
      <c r="E2599" t="str">
        <f t="shared" si="40"/>
        <v>1212-234334-44781</v>
      </c>
    </row>
    <row r="2600" spans="1:5" ht="14.25" customHeight="1">
      <c r="A2600" s="4">
        <v>1212</v>
      </c>
      <c r="B2600" s="4">
        <v>234334</v>
      </c>
      <c r="C2600" s="17">
        <v>44788</v>
      </c>
      <c r="D2600" s="4">
        <v>45</v>
      </c>
      <c r="E2600" t="str">
        <f t="shared" si="40"/>
        <v>1212-234334-44788</v>
      </c>
    </row>
    <row r="2601" spans="1:5" ht="14.25" customHeight="1">
      <c r="A2601" s="4">
        <v>1212</v>
      </c>
      <c r="B2601" s="4">
        <v>249444</v>
      </c>
      <c r="C2601" s="17">
        <v>44739</v>
      </c>
      <c r="D2601" s="4">
        <v>19</v>
      </c>
      <c r="E2601" t="str">
        <f t="shared" si="40"/>
        <v>1212-249444-44739</v>
      </c>
    </row>
    <row r="2602" spans="1:5" ht="14.25" customHeight="1">
      <c r="A2602" s="4">
        <v>1212</v>
      </c>
      <c r="B2602" s="4">
        <v>249444</v>
      </c>
      <c r="C2602" s="17">
        <v>44746</v>
      </c>
      <c r="D2602" s="4">
        <v>57</v>
      </c>
      <c r="E2602" t="str">
        <f t="shared" si="40"/>
        <v>1212-249444-44746</v>
      </c>
    </row>
    <row r="2603" spans="1:5" ht="14.25" customHeight="1">
      <c r="A2603" s="4">
        <v>1212</v>
      </c>
      <c r="B2603" s="4">
        <v>249444</v>
      </c>
      <c r="C2603" s="17">
        <v>44753</v>
      </c>
      <c r="D2603" s="4">
        <v>83</v>
      </c>
      <c r="E2603" t="str">
        <f t="shared" si="40"/>
        <v>1212-249444-44753</v>
      </c>
    </row>
    <row r="2604" spans="1:5" ht="14.25" customHeight="1">
      <c r="A2604" s="4">
        <v>1212</v>
      </c>
      <c r="B2604" s="4">
        <v>249444</v>
      </c>
      <c r="C2604" s="17">
        <v>44760</v>
      </c>
      <c r="D2604" s="4">
        <v>22</v>
      </c>
      <c r="E2604" t="str">
        <f t="shared" si="40"/>
        <v>1212-249444-44760</v>
      </c>
    </row>
    <row r="2605" spans="1:5" ht="14.25" customHeight="1">
      <c r="A2605" s="4">
        <v>1212</v>
      </c>
      <c r="B2605" s="4">
        <v>249444</v>
      </c>
      <c r="C2605" s="17">
        <v>44767</v>
      </c>
      <c r="D2605" s="4">
        <v>20</v>
      </c>
      <c r="E2605" t="str">
        <f t="shared" si="40"/>
        <v>1212-249444-44767</v>
      </c>
    </row>
    <row r="2606" spans="1:5" ht="14.25" customHeight="1">
      <c r="A2606" s="4">
        <v>1212</v>
      </c>
      <c r="B2606" s="4">
        <v>249444</v>
      </c>
      <c r="C2606" s="17">
        <v>44774</v>
      </c>
      <c r="D2606" s="4">
        <v>66</v>
      </c>
      <c r="E2606" t="str">
        <f t="shared" si="40"/>
        <v>1212-249444-44774</v>
      </c>
    </row>
    <row r="2607" spans="1:5" ht="14.25" customHeight="1">
      <c r="A2607" s="4">
        <v>1212</v>
      </c>
      <c r="B2607" s="4">
        <v>249444</v>
      </c>
      <c r="C2607" s="17">
        <v>44781</v>
      </c>
      <c r="D2607" s="4">
        <v>56</v>
      </c>
      <c r="E2607" t="str">
        <f t="shared" si="40"/>
        <v>1212-249444-44781</v>
      </c>
    </row>
    <row r="2608" spans="1:5" ht="14.25" customHeight="1">
      <c r="A2608" s="4">
        <v>1212</v>
      </c>
      <c r="B2608" s="4">
        <v>249444</v>
      </c>
      <c r="C2608" s="17">
        <v>44788</v>
      </c>
      <c r="D2608" s="4">
        <v>82</v>
      </c>
      <c r="E2608" t="str">
        <f t="shared" si="40"/>
        <v>1212-249444-44788</v>
      </c>
    </row>
    <row r="2609" spans="1:5" ht="14.25" customHeight="1">
      <c r="A2609" s="4">
        <v>1212</v>
      </c>
      <c r="B2609" s="4">
        <v>250979</v>
      </c>
      <c r="C2609" s="17">
        <v>44739</v>
      </c>
      <c r="D2609" s="4">
        <v>12</v>
      </c>
      <c r="E2609" t="str">
        <f t="shared" si="40"/>
        <v>1212-250979-44739</v>
      </c>
    </row>
    <row r="2610" spans="1:5" ht="14.25" customHeight="1">
      <c r="A2610" s="4">
        <v>1212</v>
      </c>
      <c r="B2610" s="4">
        <v>250979</v>
      </c>
      <c r="C2610" s="17">
        <v>44746</v>
      </c>
      <c r="D2610" s="4">
        <v>75</v>
      </c>
      <c r="E2610" t="str">
        <f t="shared" si="40"/>
        <v>1212-250979-44746</v>
      </c>
    </row>
    <row r="2611" spans="1:5" ht="14.25" customHeight="1">
      <c r="A2611" s="4">
        <v>1212</v>
      </c>
      <c r="B2611" s="4">
        <v>250979</v>
      </c>
      <c r="C2611" s="17">
        <v>44753</v>
      </c>
      <c r="D2611" s="4">
        <v>86</v>
      </c>
      <c r="E2611" t="str">
        <f t="shared" si="40"/>
        <v>1212-250979-44753</v>
      </c>
    </row>
    <row r="2612" spans="1:5" ht="14.25" customHeight="1">
      <c r="A2612" s="4">
        <v>1212</v>
      </c>
      <c r="B2612" s="4">
        <v>250979</v>
      </c>
      <c r="C2612" s="17">
        <v>44760</v>
      </c>
      <c r="D2612" s="4">
        <v>15</v>
      </c>
      <c r="E2612" t="str">
        <f t="shared" si="40"/>
        <v>1212-250979-44760</v>
      </c>
    </row>
    <row r="2613" spans="1:5" ht="14.25" customHeight="1">
      <c r="A2613" s="4">
        <v>1212</v>
      </c>
      <c r="B2613" s="4">
        <v>250979</v>
      </c>
      <c r="C2613" s="17">
        <v>44767</v>
      </c>
      <c r="D2613" s="4">
        <v>71</v>
      </c>
      <c r="E2613" t="str">
        <f t="shared" si="40"/>
        <v>1212-250979-44767</v>
      </c>
    </row>
    <row r="2614" spans="1:5" ht="14.25" customHeight="1">
      <c r="A2614" s="4">
        <v>1212</v>
      </c>
      <c r="B2614" s="4">
        <v>250979</v>
      </c>
      <c r="C2614" s="17">
        <v>44774</v>
      </c>
      <c r="D2614" s="4">
        <v>58</v>
      </c>
      <c r="E2614" t="str">
        <f t="shared" si="40"/>
        <v>1212-250979-44774</v>
      </c>
    </row>
    <row r="2615" spans="1:5" ht="14.25" customHeight="1">
      <c r="A2615" s="4">
        <v>1212</v>
      </c>
      <c r="B2615" s="4">
        <v>250979</v>
      </c>
      <c r="C2615" s="17">
        <v>44781</v>
      </c>
      <c r="D2615" s="4">
        <v>63</v>
      </c>
      <c r="E2615" t="str">
        <f t="shared" si="40"/>
        <v>1212-250979-44781</v>
      </c>
    </row>
    <row r="2616" spans="1:5" ht="14.25" customHeight="1">
      <c r="A2616" s="4">
        <v>1212</v>
      </c>
      <c r="B2616" s="4">
        <v>250979</v>
      </c>
      <c r="C2616" s="17">
        <v>44788</v>
      </c>
      <c r="D2616" s="4">
        <v>10</v>
      </c>
      <c r="E2616" t="str">
        <f t="shared" si="40"/>
        <v>1212-250979-44788</v>
      </c>
    </row>
    <row r="2617" spans="1:5" ht="14.25" customHeight="1">
      <c r="A2617" s="4">
        <v>1212</v>
      </c>
      <c r="B2617" s="4">
        <v>250981</v>
      </c>
      <c r="C2617" s="17">
        <v>44739</v>
      </c>
      <c r="D2617" s="4">
        <v>10</v>
      </c>
      <c r="E2617" t="str">
        <f t="shared" si="40"/>
        <v>1212-250981-44739</v>
      </c>
    </row>
    <row r="2618" spans="1:5" ht="14.25" customHeight="1">
      <c r="A2618" s="4">
        <v>1212</v>
      </c>
      <c r="B2618" s="4">
        <v>250981</v>
      </c>
      <c r="C2618" s="17">
        <v>44746</v>
      </c>
      <c r="D2618" s="4">
        <v>-5</v>
      </c>
      <c r="E2618" t="str">
        <f t="shared" si="40"/>
        <v>1212-250981-44746</v>
      </c>
    </row>
    <row r="2619" spans="1:5" ht="14.25" customHeight="1">
      <c r="A2619" s="4">
        <v>1212</v>
      </c>
      <c r="B2619" s="4">
        <v>250981</v>
      </c>
      <c r="C2619" s="17">
        <v>44753</v>
      </c>
      <c r="D2619" s="4">
        <v>8</v>
      </c>
      <c r="E2619" t="str">
        <f t="shared" si="40"/>
        <v>1212-250981-44753</v>
      </c>
    </row>
    <row r="2620" spans="1:5" ht="14.25" customHeight="1">
      <c r="A2620" s="4">
        <v>1212</v>
      </c>
      <c r="B2620" s="4">
        <v>250981</v>
      </c>
      <c r="C2620" s="17">
        <v>44760</v>
      </c>
      <c r="D2620" s="4">
        <v>12</v>
      </c>
      <c r="E2620" t="str">
        <f t="shared" si="40"/>
        <v>1212-250981-44760</v>
      </c>
    </row>
    <row r="2621" spans="1:5" ht="14.25" customHeight="1">
      <c r="A2621" s="4">
        <v>1212</v>
      </c>
      <c r="B2621" s="4">
        <v>250981</v>
      </c>
      <c r="C2621" s="17">
        <v>44767</v>
      </c>
      <c r="D2621" s="4">
        <v>-2</v>
      </c>
      <c r="E2621" t="str">
        <f t="shared" si="40"/>
        <v>1212-250981-44767</v>
      </c>
    </row>
    <row r="2622" spans="1:5" ht="14.25" customHeight="1">
      <c r="A2622" s="4">
        <v>1212</v>
      </c>
      <c r="B2622" s="4">
        <v>250981</v>
      </c>
      <c r="C2622" s="17">
        <v>44774</v>
      </c>
      <c r="D2622" s="4">
        <v>12</v>
      </c>
      <c r="E2622" t="str">
        <f t="shared" si="40"/>
        <v>1212-250981-44774</v>
      </c>
    </row>
    <row r="2623" spans="1:5" ht="14.25" customHeight="1">
      <c r="A2623" s="4">
        <v>1212</v>
      </c>
      <c r="B2623" s="4">
        <v>250981</v>
      </c>
      <c r="C2623" s="17">
        <v>44781</v>
      </c>
      <c r="D2623" s="4">
        <v>-5</v>
      </c>
      <c r="E2623" t="str">
        <f t="shared" si="40"/>
        <v>1212-250981-44781</v>
      </c>
    </row>
    <row r="2624" spans="1:5" ht="14.25" customHeight="1">
      <c r="A2624" s="4">
        <v>1212</v>
      </c>
      <c r="B2624" s="4">
        <v>250981</v>
      </c>
      <c r="C2624" s="17">
        <v>44788</v>
      </c>
      <c r="D2624" s="4">
        <v>6</v>
      </c>
      <c r="E2624" t="str">
        <f t="shared" si="40"/>
        <v>1212-250981-44788</v>
      </c>
    </row>
    <row r="2625" spans="1:5" ht="14.25" customHeight="1">
      <c r="A2625" s="4">
        <v>1212</v>
      </c>
      <c r="B2625" s="4">
        <v>262294</v>
      </c>
      <c r="C2625" s="17">
        <v>44739</v>
      </c>
      <c r="D2625" s="4">
        <v>9</v>
      </c>
      <c r="E2625" t="str">
        <f t="shared" si="40"/>
        <v>1212-262294-44739</v>
      </c>
    </row>
    <row r="2626" spans="1:5" ht="14.25" customHeight="1">
      <c r="A2626" s="4">
        <v>1212</v>
      </c>
      <c r="B2626" s="4">
        <v>262294</v>
      </c>
      <c r="C2626" s="17">
        <v>44746</v>
      </c>
      <c r="D2626" s="4">
        <v>9</v>
      </c>
      <c r="E2626" t="str">
        <f t="shared" si="40"/>
        <v>1212-262294-44746</v>
      </c>
    </row>
    <row r="2627" spans="1:5" ht="14.25" customHeight="1">
      <c r="A2627" s="4">
        <v>1212</v>
      </c>
      <c r="B2627" s="4">
        <v>262294</v>
      </c>
      <c r="C2627" s="17">
        <v>44753</v>
      </c>
      <c r="D2627" s="4">
        <v>9</v>
      </c>
      <c r="E2627" t="str">
        <f t="shared" ref="E2627:E2690" si="41">A2627&amp;"-"&amp;B2627&amp;"-"&amp;INT(C2627)</f>
        <v>1212-262294-44753</v>
      </c>
    </row>
    <row r="2628" spans="1:5" ht="14.25" customHeight="1">
      <c r="A2628" s="4">
        <v>1212</v>
      </c>
      <c r="B2628" s="4">
        <v>262294</v>
      </c>
      <c r="C2628" s="17">
        <v>44760</v>
      </c>
      <c r="D2628" s="4">
        <v>9</v>
      </c>
      <c r="E2628" t="str">
        <f t="shared" si="41"/>
        <v>1212-262294-44760</v>
      </c>
    </row>
    <row r="2629" spans="1:5" ht="14.25" customHeight="1">
      <c r="A2629" s="4">
        <v>1212</v>
      </c>
      <c r="B2629" s="4">
        <v>262294</v>
      </c>
      <c r="C2629" s="17">
        <v>44767</v>
      </c>
      <c r="D2629" s="4">
        <v>9</v>
      </c>
      <c r="E2629" t="str">
        <f t="shared" si="41"/>
        <v>1212-262294-44767</v>
      </c>
    </row>
    <row r="2630" spans="1:5" ht="14.25" customHeight="1">
      <c r="A2630" s="4">
        <v>1212</v>
      </c>
      <c r="B2630" s="4">
        <v>262294</v>
      </c>
      <c r="C2630" s="17">
        <v>44774</v>
      </c>
      <c r="D2630" s="4">
        <v>9</v>
      </c>
      <c r="E2630" t="str">
        <f t="shared" si="41"/>
        <v>1212-262294-44774</v>
      </c>
    </row>
    <row r="2631" spans="1:5" ht="14.25" customHeight="1">
      <c r="A2631" s="4">
        <v>1212</v>
      </c>
      <c r="B2631" s="4">
        <v>262294</v>
      </c>
      <c r="C2631" s="17">
        <v>44781</v>
      </c>
      <c r="D2631" s="4">
        <v>9</v>
      </c>
      <c r="E2631" t="str">
        <f t="shared" si="41"/>
        <v>1212-262294-44781</v>
      </c>
    </row>
    <row r="2632" spans="1:5" ht="14.25" customHeight="1">
      <c r="A2632" s="4">
        <v>1212</v>
      </c>
      <c r="B2632" s="4">
        <v>262294</v>
      </c>
      <c r="C2632" s="17">
        <v>44788</v>
      </c>
      <c r="D2632" s="4">
        <v>9</v>
      </c>
      <c r="E2632" t="str">
        <f t="shared" si="41"/>
        <v>1212-262294-44788</v>
      </c>
    </row>
    <row r="2633" spans="1:5" ht="14.25" customHeight="1">
      <c r="A2633" s="4">
        <v>1212</v>
      </c>
      <c r="B2633" s="4">
        <v>268831</v>
      </c>
      <c r="C2633" s="17">
        <v>44739</v>
      </c>
      <c r="D2633" s="4">
        <v>84</v>
      </c>
      <c r="E2633" t="str">
        <f t="shared" si="41"/>
        <v>1212-268831-44739</v>
      </c>
    </row>
    <row r="2634" spans="1:5" ht="14.25" customHeight="1">
      <c r="A2634" s="4">
        <v>1212</v>
      </c>
      <c r="B2634" s="4">
        <v>268831</v>
      </c>
      <c r="C2634" s="17">
        <v>44746</v>
      </c>
      <c r="D2634" s="4">
        <v>70</v>
      </c>
      <c r="E2634" t="str">
        <f t="shared" si="41"/>
        <v>1212-268831-44746</v>
      </c>
    </row>
    <row r="2635" spans="1:5" ht="14.25" customHeight="1">
      <c r="A2635" s="4">
        <v>1212</v>
      </c>
      <c r="B2635" s="4">
        <v>268831</v>
      </c>
      <c r="C2635" s="17">
        <v>44753</v>
      </c>
      <c r="D2635" s="4">
        <v>49</v>
      </c>
      <c r="E2635" t="str">
        <f t="shared" si="41"/>
        <v>1212-268831-44753</v>
      </c>
    </row>
    <row r="2636" spans="1:5" ht="14.25" customHeight="1">
      <c r="A2636" s="4">
        <v>1212</v>
      </c>
      <c r="B2636" s="4">
        <v>268831</v>
      </c>
      <c r="C2636" s="17">
        <v>44760</v>
      </c>
      <c r="D2636" s="4">
        <v>70</v>
      </c>
      <c r="E2636" t="str">
        <f t="shared" si="41"/>
        <v>1212-268831-44760</v>
      </c>
    </row>
    <row r="2637" spans="1:5" ht="14.25" customHeight="1">
      <c r="A2637" s="4">
        <v>1212</v>
      </c>
      <c r="B2637" s="4">
        <v>268831</v>
      </c>
      <c r="C2637" s="17">
        <v>44767</v>
      </c>
      <c r="D2637" s="4">
        <v>80</v>
      </c>
      <c r="E2637" t="str">
        <f t="shared" si="41"/>
        <v>1212-268831-44767</v>
      </c>
    </row>
    <row r="2638" spans="1:5" ht="14.25" customHeight="1">
      <c r="A2638" s="4">
        <v>1212</v>
      </c>
      <c r="B2638" s="4">
        <v>268831</v>
      </c>
      <c r="C2638" s="17">
        <v>44774</v>
      </c>
      <c r="D2638" s="4">
        <v>84</v>
      </c>
      <c r="E2638" t="str">
        <f t="shared" si="41"/>
        <v>1212-268831-44774</v>
      </c>
    </row>
    <row r="2639" spans="1:5" ht="14.25" customHeight="1">
      <c r="A2639" s="4">
        <v>1212</v>
      </c>
      <c r="B2639" s="4">
        <v>268831</v>
      </c>
      <c r="C2639" s="17">
        <v>44781</v>
      </c>
      <c r="D2639" s="4">
        <v>88</v>
      </c>
      <c r="E2639" t="str">
        <f t="shared" si="41"/>
        <v>1212-268831-44781</v>
      </c>
    </row>
    <row r="2640" spans="1:5" ht="14.25" customHeight="1">
      <c r="A2640" s="4">
        <v>1212</v>
      </c>
      <c r="B2640" s="4">
        <v>268831</v>
      </c>
      <c r="C2640" s="17">
        <v>44788</v>
      </c>
      <c r="D2640" s="4">
        <v>76</v>
      </c>
      <c r="E2640" t="str">
        <f t="shared" si="41"/>
        <v>1212-268831-44788</v>
      </c>
    </row>
    <row r="2641" spans="1:5" ht="14.25" customHeight="1">
      <c r="A2641" s="4">
        <v>1212</v>
      </c>
      <c r="B2641" s="4">
        <v>273701</v>
      </c>
      <c r="C2641" s="17">
        <v>44739</v>
      </c>
      <c r="D2641" s="4">
        <v>27</v>
      </c>
      <c r="E2641" t="str">
        <f t="shared" si="41"/>
        <v>1212-273701-44739</v>
      </c>
    </row>
    <row r="2642" spans="1:5" ht="14.25" customHeight="1">
      <c r="A2642" s="4">
        <v>1212</v>
      </c>
      <c r="B2642" s="4">
        <v>273701</v>
      </c>
      <c r="C2642" s="17">
        <v>44746</v>
      </c>
      <c r="D2642" s="4">
        <v>61</v>
      </c>
      <c r="E2642" t="str">
        <f t="shared" si="41"/>
        <v>1212-273701-44746</v>
      </c>
    </row>
    <row r="2643" spans="1:5" ht="14.25" customHeight="1">
      <c r="A2643" s="4">
        <v>1212</v>
      </c>
      <c r="B2643" s="4">
        <v>273701</v>
      </c>
      <c r="C2643" s="17">
        <v>44753</v>
      </c>
      <c r="D2643" s="4">
        <v>22</v>
      </c>
      <c r="E2643" t="str">
        <f t="shared" si="41"/>
        <v>1212-273701-44753</v>
      </c>
    </row>
    <row r="2644" spans="1:5" ht="14.25" customHeight="1">
      <c r="A2644" s="4">
        <v>1212</v>
      </c>
      <c r="B2644" s="4">
        <v>273701</v>
      </c>
      <c r="C2644" s="17">
        <v>44760</v>
      </c>
      <c r="D2644" s="4">
        <v>20</v>
      </c>
      <c r="E2644" t="str">
        <f t="shared" si="41"/>
        <v>1212-273701-44760</v>
      </c>
    </row>
    <row r="2645" spans="1:5" ht="14.25" customHeight="1">
      <c r="A2645" s="4">
        <v>1212</v>
      </c>
      <c r="B2645" s="4">
        <v>273701</v>
      </c>
      <c r="C2645" s="17">
        <v>44767</v>
      </c>
      <c r="D2645" s="4">
        <v>20</v>
      </c>
      <c r="E2645" t="str">
        <f t="shared" si="41"/>
        <v>1212-273701-44767</v>
      </c>
    </row>
    <row r="2646" spans="1:5" ht="14.25" customHeight="1">
      <c r="A2646" s="4">
        <v>1212</v>
      </c>
      <c r="B2646" s="4">
        <v>273701</v>
      </c>
      <c r="C2646" s="17">
        <v>44774</v>
      </c>
      <c r="D2646" s="4">
        <v>52</v>
      </c>
      <c r="E2646" t="str">
        <f t="shared" si="41"/>
        <v>1212-273701-44774</v>
      </c>
    </row>
    <row r="2647" spans="1:5" ht="14.25" customHeight="1">
      <c r="A2647" s="4">
        <v>1212</v>
      </c>
      <c r="B2647" s="4">
        <v>273701</v>
      </c>
      <c r="C2647" s="17">
        <v>44781</v>
      </c>
      <c r="D2647" s="4">
        <v>60</v>
      </c>
      <c r="E2647" t="str">
        <f t="shared" si="41"/>
        <v>1212-273701-44781</v>
      </c>
    </row>
    <row r="2648" spans="1:5" ht="14.25" customHeight="1">
      <c r="A2648" s="4">
        <v>1212</v>
      </c>
      <c r="B2648" s="4">
        <v>273701</v>
      </c>
      <c r="C2648" s="17">
        <v>44788</v>
      </c>
      <c r="D2648" s="4">
        <v>66</v>
      </c>
      <c r="E2648" t="str">
        <f t="shared" si="41"/>
        <v>1212-273701-44788</v>
      </c>
    </row>
    <row r="2649" spans="1:5" ht="14.25" customHeight="1">
      <c r="A2649" s="4">
        <v>1212</v>
      </c>
      <c r="B2649" s="4">
        <v>291726</v>
      </c>
      <c r="C2649" s="17">
        <v>44739</v>
      </c>
      <c r="D2649" s="4">
        <v>45</v>
      </c>
      <c r="E2649" t="str">
        <f t="shared" si="41"/>
        <v>1212-291726-44739</v>
      </c>
    </row>
    <row r="2650" spans="1:5" ht="14.25" customHeight="1">
      <c r="A2650" s="4">
        <v>1212</v>
      </c>
      <c r="B2650" s="4">
        <v>291726</v>
      </c>
      <c r="C2650" s="17">
        <v>44746</v>
      </c>
      <c r="D2650" s="4">
        <v>22</v>
      </c>
      <c r="E2650" t="str">
        <f t="shared" si="41"/>
        <v>1212-291726-44746</v>
      </c>
    </row>
    <row r="2651" spans="1:5" ht="14.25" customHeight="1">
      <c r="A2651" s="4">
        <v>1212</v>
      </c>
      <c r="B2651" s="4">
        <v>291726</v>
      </c>
      <c r="C2651" s="17">
        <v>44753</v>
      </c>
      <c r="D2651" s="4">
        <v>56</v>
      </c>
      <c r="E2651" t="str">
        <f t="shared" si="41"/>
        <v>1212-291726-44753</v>
      </c>
    </row>
    <row r="2652" spans="1:5" ht="14.25" customHeight="1">
      <c r="A2652" s="4">
        <v>1212</v>
      </c>
      <c r="B2652" s="4">
        <v>291726</v>
      </c>
      <c r="C2652" s="17">
        <v>44760</v>
      </c>
      <c r="D2652" s="4">
        <v>42</v>
      </c>
      <c r="E2652" t="str">
        <f t="shared" si="41"/>
        <v>1212-291726-44760</v>
      </c>
    </row>
    <row r="2653" spans="1:5" ht="14.25" customHeight="1">
      <c r="A2653" s="4">
        <v>1212</v>
      </c>
      <c r="B2653" s="4">
        <v>291726</v>
      </c>
      <c r="C2653" s="17">
        <v>44767</v>
      </c>
      <c r="D2653" s="4">
        <v>52</v>
      </c>
      <c r="E2653" t="str">
        <f t="shared" si="41"/>
        <v>1212-291726-44767</v>
      </c>
    </row>
    <row r="2654" spans="1:5" ht="14.25" customHeight="1">
      <c r="A2654" s="4">
        <v>1212</v>
      </c>
      <c r="B2654" s="4">
        <v>291726</v>
      </c>
      <c r="C2654" s="17">
        <v>44774</v>
      </c>
      <c r="D2654" s="4">
        <v>24</v>
      </c>
      <c r="E2654" t="str">
        <f t="shared" si="41"/>
        <v>1212-291726-44774</v>
      </c>
    </row>
    <row r="2655" spans="1:5" ht="14.25" customHeight="1">
      <c r="A2655" s="4">
        <v>1212</v>
      </c>
      <c r="B2655" s="4">
        <v>291726</v>
      </c>
      <c r="C2655" s="17">
        <v>44781</v>
      </c>
      <c r="D2655" s="4">
        <v>52</v>
      </c>
      <c r="E2655" t="str">
        <f t="shared" si="41"/>
        <v>1212-291726-44781</v>
      </c>
    </row>
    <row r="2656" spans="1:5" ht="14.25" customHeight="1">
      <c r="A2656" s="4">
        <v>1212</v>
      </c>
      <c r="B2656" s="4">
        <v>291726</v>
      </c>
      <c r="C2656" s="17">
        <v>44788</v>
      </c>
      <c r="D2656" s="4">
        <v>58</v>
      </c>
      <c r="E2656" t="str">
        <f t="shared" si="41"/>
        <v>1212-291726-44788</v>
      </c>
    </row>
    <row r="2657" spans="1:5" ht="14.25" customHeight="1">
      <c r="A2657" s="4">
        <v>1212</v>
      </c>
      <c r="B2657" s="4">
        <v>291728</v>
      </c>
      <c r="C2657" s="17">
        <v>44739</v>
      </c>
      <c r="D2657" s="4">
        <v>6</v>
      </c>
      <c r="E2657" t="str">
        <f t="shared" si="41"/>
        <v>1212-291728-44739</v>
      </c>
    </row>
    <row r="2658" spans="1:5" ht="14.25" customHeight="1">
      <c r="A2658" s="4">
        <v>1212</v>
      </c>
      <c r="B2658" s="4">
        <v>291728</v>
      </c>
      <c r="C2658" s="17">
        <v>44746</v>
      </c>
      <c r="D2658" s="4">
        <v>6</v>
      </c>
      <c r="E2658" t="str">
        <f t="shared" si="41"/>
        <v>1212-291728-44746</v>
      </c>
    </row>
    <row r="2659" spans="1:5" ht="14.25" customHeight="1">
      <c r="A2659" s="4">
        <v>1212</v>
      </c>
      <c r="B2659" s="4">
        <v>291728</v>
      </c>
      <c r="C2659" s="17">
        <v>44753</v>
      </c>
      <c r="D2659" s="4">
        <v>6</v>
      </c>
      <c r="E2659" t="str">
        <f t="shared" si="41"/>
        <v>1212-291728-44753</v>
      </c>
    </row>
    <row r="2660" spans="1:5" ht="14.25" customHeight="1">
      <c r="A2660" s="4">
        <v>1212</v>
      </c>
      <c r="B2660" s="4">
        <v>291728</v>
      </c>
      <c r="C2660" s="17">
        <v>44760</v>
      </c>
      <c r="D2660" s="4">
        <v>6</v>
      </c>
      <c r="E2660" t="str">
        <f t="shared" si="41"/>
        <v>1212-291728-44760</v>
      </c>
    </row>
    <row r="2661" spans="1:5" ht="14.25" customHeight="1">
      <c r="A2661" s="4">
        <v>1212</v>
      </c>
      <c r="B2661" s="4">
        <v>291728</v>
      </c>
      <c r="C2661" s="17">
        <v>44767</v>
      </c>
      <c r="D2661" s="4">
        <v>6</v>
      </c>
      <c r="E2661" t="str">
        <f t="shared" si="41"/>
        <v>1212-291728-44767</v>
      </c>
    </row>
    <row r="2662" spans="1:5" ht="14.25" customHeight="1">
      <c r="A2662" s="4">
        <v>1212</v>
      </c>
      <c r="B2662" s="4">
        <v>291728</v>
      </c>
      <c r="C2662" s="17">
        <v>44774</v>
      </c>
      <c r="D2662" s="4">
        <v>6</v>
      </c>
      <c r="E2662" t="str">
        <f t="shared" si="41"/>
        <v>1212-291728-44774</v>
      </c>
    </row>
    <row r="2663" spans="1:5" ht="14.25" customHeight="1">
      <c r="A2663" s="4">
        <v>1212</v>
      </c>
      <c r="B2663" s="4">
        <v>291728</v>
      </c>
      <c r="C2663" s="17">
        <v>44781</v>
      </c>
      <c r="D2663" s="4">
        <v>6</v>
      </c>
      <c r="E2663" t="str">
        <f t="shared" si="41"/>
        <v>1212-291728-44781</v>
      </c>
    </row>
    <row r="2664" spans="1:5" ht="14.25" customHeight="1">
      <c r="A2664" s="4">
        <v>1212</v>
      </c>
      <c r="B2664" s="4">
        <v>291728</v>
      </c>
      <c r="C2664" s="17">
        <v>44788</v>
      </c>
      <c r="D2664" s="4">
        <v>6</v>
      </c>
      <c r="E2664" t="str">
        <f t="shared" si="41"/>
        <v>1212-291728-44788</v>
      </c>
    </row>
    <row r="2665" spans="1:5" ht="14.25" customHeight="1">
      <c r="A2665" s="4">
        <v>1212</v>
      </c>
      <c r="B2665" s="4">
        <v>300380</v>
      </c>
      <c r="C2665" s="17">
        <v>32874</v>
      </c>
      <c r="D2665" s="4">
        <v>42</v>
      </c>
      <c r="E2665" t="str">
        <f t="shared" si="41"/>
        <v>1212-300380-32874</v>
      </c>
    </row>
    <row r="2666" spans="1:5" ht="14.25" customHeight="1">
      <c r="A2666" s="4">
        <v>1212</v>
      </c>
      <c r="B2666" s="4">
        <v>300380</v>
      </c>
      <c r="C2666" s="17">
        <v>44739</v>
      </c>
      <c r="D2666" s="4">
        <v>25</v>
      </c>
      <c r="E2666" t="str">
        <f t="shared" si="41"/>
        <v>1212-300380-44739</v>
      </c>
    </row>
    <row r="2667" spans="1:5" ht="14.25" customHeight="1">
      <c r="A2667" s="4">
        <v>1212</v>
      </c>
      <c r="B2667" s="4">
        <v>300380</v>
      </c>
      <c r="C2667" s="17">
        <v>44746</v>
      </c>
      <c r="D2667" s="4">
        <v>54</v>
      </c>
      <c r="E2667" t="str">
        <f t="shared" si="41"/>
        <v>1212-300380-44746</v>
      </c>
    </row>
    <row r="2668" spans="1:5" ht="14.25" customHeight="1">
      <c r="A2668" s="4">
        <v>1212</v>
      </c>
      <c r="B2668" s="4">
        <v>300380</v>
      </c>
      <c r="C2668" s="17">
        <v>44753</v>
      </c>
      <c r="D2668" s="4">
        <v>22</v>
      </c>
      <c r="E2668" t="str">
        <f t="shared" si="41"/>
        <v>1212-300380-44753</v>
      </c>
    </row>
    <row r="2669" spans="1:5" ht="14.25" customHeight="1">
      <c r="A2669" s="4">
        <v>1212</v>
      </c>
      <c r="B2669" s="4">
        <v>300380</v>
      </c>
      <c r="C2669" s="17">
        <v>44760</v>
      </c>
      <c r="D2669" s="4">
        <v>58</v>
      </c>
      <c r="E2669" t="str">
        <f t="shared" si="41"/>
        <v>1212-300380-44760</v>
      </c>
    </row>
    <row r="2670" spans="1:5" ht="14.25" customHeight="1">
      <c r="A2670" s="4">
        <v>1212</v>
      </c>
      <c r="B2670" s="4">
        <v>300380</v>
      </c>
      <c r="C2670" s="17">
        <v>44767</v>
      </c>
      <c r="D2670" s="4">
        <v>66</v>
      </c>
      <c r="E2670" t="str">
        <f t="shared" si="41"/>
        <v>1212-300380-44767</v>
      </c>
    </row>
    <row r="2671" spans="1:5" ht="14.25" customHeight="1">
      <c r="A2671" s="4">
        <v>1212</v>
      </c>
      <c r="B2671" s="4">
        <v>300380</v>
      </c>
      <c r="C2671" s="17">
        <v>44774</v>
      </c>
      <c r="D2671" s="4">
        <v>54</v>
      </c>
      <c r="E2671" t="str">
        <f t="shared" si="41"/>
        <v>1212-300380-44774</v>
      </c>
    </row>
    <row r="2672" spans="1:5" ht="14.25" customHeight="1">
      <c r="A2672" s="4">
        <v>1212</v>
      </c>
      <c r="B2672" s="4">
        <v>300380</v>
      </c>
      <c r="C2672" s="17">
        <v>44781</v>
      </c>
      <c r="D2672" s="4">
        <v>21</v>
      </c>
      <c r="E2672" t="str">
        <f t="shared" si="41"/>
        <v>1212-300380-44781</v>
      </c>
    </row>
    <row r="2673" spans="1:5" ht="14.25" customHeight="1">
      <c r="A2673" s="4">
        <v>1212</v>
      </c>
      <c r="B2673" s="4">
        <v>300380</v>
      </c>
      <c r="C2673" s="17">
        <v>44788</v>
      </c>
      <c r="D2673" s="4">
        <v>54</v>
      </c>
      <c r="E2673" t="str">
        <f t="shared" si="41"/>
        <v>1212-300380-44788</v>
      </c>
    </row>
    <row r="2674" spans="1:5" ht="14.25" customHeight="1">
      <c r="A2674" s="4">
        <v>1212</v>
      </c>
      <c r="B2674" s="4">
        <v>571521</v>
      </c>
      <c r="C2674" s="17">
        <v>44739</v>
      </c>
      <c r="D2674" s="4">
        <v>3</v>
      </c>
      <c r="E2674" t="str">
        <f t="shared" si="41"/>
        <v>1212-571521-44739</v>
      </c>
    </row>
    <row r="2675" spans="1:5" ht="14.25" customHeight="1">
      <c r="A2675" s="4">
        <v>1212</v>
      </c>
      <c r="B2675" s="4">
        <v>571521</v>
      </c>
      <c r="C2675" s="17">
        <v>44746</v>
      </c>
      <c r="D2675" s="4">
        <v>3</v>
      </c>
      <c r="E2675" t="str">
        <f t="shared" si="41"/>
        <v>1212-571521-44746</v>
      </c>
    </row>
    <row r="2676" spans="1:5" ht="14.25" customHeight="1">
      <c r="A2676" s="4">
        <v>1212</v>
      </c>
      <c r="B2676" s="4">
        <v>571521</v>
      </c>
      <c r="C2676" s="17">
        <v>44753</v>
      </c>
      <c r="D2676" s="4">
        <v>3</v>
      </c>
      <c r="E2676" t="str">
        <f t="shared" si="41"/>
        <v>1212-571521-44753</v>
      </c>
    </row>
    <row r="2677" spans="1:5" ht="14.25" customHeight="1">
      <c r="A2677" s="4">
        <v>1212</v>
      </c>
      <c r="B2677" s="4">
        <v>571521</v>
      </c>
      <c r="C2677" s="17">
        <v>44760</v>
      </c>
      <c r="D2677" s="4">
        <v>3</v>
      </c>
      <c r="E2677" t="str">
        <f t="shared" si="41"/>
        <v>1212-571521-44760</v>
      </c>
    </row>
    <row r="2678" spans="1:5" ht="14.25" customHeight="1">
      <c r="A2678" s="4">
        <v>1212</v>
      </c>
      <c r="B2678" s="4">
        <v>571521</v>
      </c>
      <c r="C2678" s="17">
        <v>44767</v>
      </c>
      <c r="D2678" s="4">
        <v>3</v>
      </c>
      <c r="E2678" t="str">
        <f t="shared" si="41"/>
        <v>1212-571521-44767</v>
      </c>
    </row>
    <row r="2679" spans="1:5" ht="14.25" customHeight="1">
      <c r="A2679" s="4">
        <v>1212</v>
      </c>
      <c r="B2679" s="4">
        <v>571521</v>
      </c>
      <c r="C2679" s="17">
        <v>44774</v>
      </c>
      <c r="D2679" s="4">
        <v>3</v>
      </c>
      <c r="E2679" t="str">
        <f t="shared" si="41"/>
        <v>1212-571521-44774</v>
      </c>
    </row>
    <row r="2680" spans="1:5" ht="14.25" customHeight="1">
      <c r="A2680" s="4">
        <v>1212</v>
      </c>
      <c r="B2680" s="4">
        <v>571521</v>
      </c>
      <c r="C2680" s="17">
        <v>44781</v>
      </c>
      <c r="D2680" s="4">
        <v>3</v>
      </c>
      <c r="E2680" t="str">
        <f t="shared" si="41"/>
        <v>1212-571521-44781</v>
      </c>
    </row>
    <row r="2681" spans="1:5" ht="14.25" customHeight="1">
      <c r="A2681" s="4">
        <v>1212</v>
      </c>
      <c r="B2681" s="4">
        <v>571521</v>
      </c>
      <c r="C2681" s="17">
        <v>44788</v>
      </c>
      <c r="D2681" s="4">
        <v>3</v>
      </c>
      <c r="E2681" t="str">
        <f t="shared" si="41"/>
        <v>1212-571521-44788</v>
      </c>
    </row>
    <row r="2682" spans="1:5" ht="14.25" customHeight="1">
      <c r="A2682" s="4">
        <v>1212</v>
      </c>
      <c r="B2682" s="4">
        <v>614993</v>
      </c>
      <c r="C2682" s="17">
        <v>44739</v>
      </c>
      <c r="D2682" s="4">
        <v>17</v>
      </c>
      <c r="E2682" t="str">
        <f t="shared" si="41"/>
        <v>1212-614993-44739</v>
      </c>
    </row>
    <row r="2683" spans="1:5" ht="14.25" customHeight="1">
      <c r="A2683" s="4">
        <v>1212</v>
      </c>
      <c r="B2683" s="4">
        <v>614993</v>
      </c>
      <c r="C2683" s="17">
        <v>44746</v>
      </c>
      <c r="D2683" s="4">
        <v>6</v>
      </c>
      <c r="E2683" t="str">
        <f t="shared" si="41"/>
        <v>1212-614993-44746</v>
      </c>
    </row>
    <row r="2684" spans="1:5" ht="14.25" customHeight="1">
      <c r="A2684" s="4">
        <v>1212</v>
      </c>
      <c r="B2684" s="4">
        <v>614993</v>
      </c>
      <c r="C2684" s="17">
        <v>44753</v>
      </c>
      <c r="D2684" s="4">
        <v>-1</v>
      </c>
      <c r="E2684" t="str">
        <f t="shared" si="41"/>
        <v>1212-614993-44753</v>
      </c>
    </row>
    <row r="2685" spans="1:5" ht="14.25" customHeight="1">
      <c r="A2685" s="4">
        <v>1212</v>
      </c>
      <c r="B2685" s="4">
        <v>614993</v>
      </c>
      <c r="C2685" s="17">
        <v>44760</v>
      </c>
      <c r="D2685" s="4">
        <v>15</v>
      </c>
      <c r="E2685" t="str">
        <f t="shared" si="41"/>
        <v>1212-614993-44760</v>
      </c>
    </row>
    <row r="2686" spans="1:5" ht="14.25" customHeight="1">
      <c r="A2686" s="4">
        <v>1212</v>
      </c>
      <c r="B2686" s="4">
        <v>614993</v>
      </c>
      <c r="C2686" s="17">
        <v>44767</v>
      </c>
      <c r="D2686" s="4">
        <v>10</v>
      </c>
      <c r="E2686" t="str">
        <f t="shared" si="41"/>
        <v>1212-614993-44767</v>
      </c>
    </row>
    <row r="2687" spans="1:5" ht="14.25" customHeight="1">
      <c r="A2687" s="4">
        <v>1212</v>
      </c>
      <c r="B2687" s="4">
        <v>614993</v>
      </c>
      <c r="C2687" s="17">
        <v>44774</v>
      </c>
      <c r="D2687" s="4">
        <v>14</v>
      </c>
      <c r="E2687" t="str">
        <f t="shared" si="41"/>
        <v>1212-614993-44774</v>
      </c>
    </row>
    <row r="2688" spans="1:5" ht="14.25" customHeight="1">
      <c r="A2688" s="4">
        <v>1212</v>
      </c>
      <c r="B2688" s="4">
        <v>614993</v>
      </c>
      <c r="C2688" s="17">
        <v>44781</v>
      </c>
      <c r="D2688" s="4">
        <v>9</v>
      </c>
      <c r="E2688" t="str">
        <f t="shared" si="41"/>
        <v>1212-614993-44781</v>
      </c>
    </row>
    <row r="2689" spans="1:5" ht="14.25" customHeight="1">
      <c r="A2689" s="4">
        <v>1212</v>
      </c>
      <c r="B2689" s="4">
        <v>614993</v>
      </c>
      <c r="C2689" s="17">
        <v>44788</v>
      </c>
      <c r="D2689" s="4">
        <v>16</v>
      </c>
      <c r="E2689" t="str">
        <f t="shared" si="41"/>
        <v>1212-614993-44788</v>
      </c>
    </row>
    <row r="2690" spans="1:5" ht="14.25" customHeight="1">
      <c r="A2690" s="4">
        <v>1213</v>
      </c>
      <c r="B2690" s="4">
        <v>23393</v>
      </c>
      <c r="C2690" s="17">
        <v>32874</v>
      </c>
      <c r="D2690" s="4">
        <v>104</v>
      </c>
      <c r="E2690" t="str">
        <f t="shared" si="41"/>
        <v>1213-23393-32874</v>
      </c>
    </row>
    <row r="2691" spans="1:5" ht="14.25" customHeight="1">
      <c r="A2691" s="4">
        <v>1213</v>
      </c>
      <c r="B2691" s="4">
        <v>23393</v>
      </c>
      <c r="C2691" s="17">
        <v>44739</v>
      </c>
      <c r="D2691" s="4">
        <v>57</v>
      </c>
      <c r="E2691" t="str">
        <f t="shared" ref="E2691:E2754" si="42">A2691&amp;"-"&amp;B2691&amp;"-"&amp;INT(C2691)</f>
        <v>1213-23393-44739</v>
      </c>
    </row>
    <row r="2692" spans="1:5" ht="14.25" customHeight="1">
      <c r="A2692" s="4">
        <v>1213</v>
      </c>
      <c r="B2692" s="4">
        <v>23393</v>
      </c>
      <c r="C2692" s="17">
        <v>44746</v>
      </c>
      <c r="D2692" s="4">
        <v>57</v>
      </c>
      <c r="E2692" t="str">
        <f t="shared" si="42"/>
        <v>1213-23393-44746</v>
      </c>
    </row>
    <row r="2693" spans="1:5" ht="14.25" customHeight="1">
      <c r="A2693" s="4">
        <v>1213</v>
      </c>
      <c r="B2693" s="4">
        <v>23393</v>
      </c>
      <c r="C2693" s="17">
        <v>44753</v>
      </c>
      <c r="D2693" s="4">
        <v>57</v>
      </c>
      <c r="E2693" t="str">
        <f t="shared" si="42"/>
        <v>1213-23393-44753</v>
      </c>
    </row>
    <row r="2694" spans="1:5" ht="14.25" customHeight="1">
      <c r="A2694" s="4">
        <v>1213</v>
      </c>
      <c r="B2694" s="4">
        <v>23393</v>
      </c>
      <c r="C2694" s="17">
        <v>44760</v>
      </c>
      <c r="D2694" s="4">
        <v>57</v>
      </c>
      <c r="E2694" t="str">
        <f t="shared" si="42"/>
        <v>1213-23393-44760</v>
      </c>
    </row>
    <row r="2695" spans="1:5" ht="14.25" customHeight="1">
      <c r="A2695" s="4">
        <v>1213</v>
      </c>
      <c r="B2695" s="4">
        <v>23393</v>
      </c>
      <c r="C2695" s="17">
        <v>44767</v>
      </c>
      <c r="D2695" s="4">
        <v>57</v>
      </c>
      <c r="E2695" t="str">
        <f t="shared" si="42"/>
        <v>1213-23393-44767</v>
      </c>
    </row>
    <row r="2696" spans="1:5" ht="14.25" customHeight="1">
      <c r="A2696" s="4">
        <v>1213</v>
      </c>
      <c r="B2696" s="4">
        <v>23393</v>
      </c>
      <c r="C2696" s="17">
        <v>44774</v>
      </c>
      <c r="D2696" s="4">
        <v>57</v>
      </c>
      <c r="E2696" t="str">
        <f t="shared" si="42"/>
        <v>1213-23393-44774</v>
      </c>
    </row>
    <row r="2697" spans="1:5" ht="14.25" customHeight="1">
      <c r="A2697" s="4">
        <v>1213</v>
      </c>
      <c r="B2697" s="4">
        <v>23393</v>
      </c>
      <c r="C2697" s="17">
        <v>44781</v>
      </c>
      <c r="D2697" s="4">
        <v>57</v>
      </c>
      <c r="E2697" t="str">
        <f t="shared" si="42"/>
        <v>1213-23393-44781</v>
      </c>
    </row>
    <row r="2698" spans="1:5" ht="14.25" customHeight="1">
      <c r="A2698" s="4">
        <v>1213</v>
      </c>
      <c r="B2698" s="4">
        <v>23393</v>
      </c>
      <c r="C2698" s="17">
        <v>44788</v>
      </c>
      <c r="D2698" s="4">
        <v>57</v>
      </c>
      <c r="E2698" t="str">
        <f t="shared" si="42"/>
        <v>1213-23393-44788</v>
      </c>
    </row>
    <row r="2699" spans="1:5" ht="14.25" customHeight="1">
      <c r="A2699" s="4">
        <v>1213</v>
      </c>
      <c r="B2699" s="4">
        <v>26764</v>
      </c>
      <c r="C2699" s="17">
        <v>44739</v>
      </c>
      <c r="D2699" s="4">
        <v>76</v>
      </c>
      <c r="E2699" t="str">
        <f t="shared" si="42"/>
        <v>1213-26764-44739</v>
      </c>
    </row>
    <row r="2700" spans="1:5" ht="14.25" customHeight="1">
      <c r="A2700" s="4">
        <v>1213</v>
      </c>
      <c r="B2700" s="4">
        <v>26764</v>
      </c>
      <c r="C2700" s="17">
        <v>44746</v>
      </c>
      <c r="D2700" s="4">
        <v>76</v>
      </c>
      <c r="E2700" t="str">
        <f t="shared" si="42"/>
        <v>1213-26764-44746</v>
      </c>
    </row>
    <row r="2701" spans="1:5" ht="14.25" customHeight="1">
      <c r="A2701" s="4">
        <v>1213</v>
      </c>
      <c r="B2701" s="4">
        <v>26764</v>
      </c>
      <c r="C2701" s="17">
        <v>44753</v>
      </c>
      <c r="D2701" s="4">
        <v>162</v>
      </c>
      <c r="E2701" t="str">
        <f t="shared" si="42"/>
        <v>1213-26764-44753</v>
      </c>
    </row>
    <row r="2702" spans="1:5" ht="14.25" customHeight="1">
      <c r="A2702" s="4">
        <v>1213</v>
      </c>
      <c r="B2702" s="4">
        <v>26764</v>
      </c>
      <c r="C2702" s="17">
        <v>44760</v>
      </c>
      <c r="D2702" s="4">
        <v>188</v>
      </c>
      <c r="E2702" t="str">
        <f t="shared" si="42"/>
        <v>1213-26764-44760</v>
      </c>
    </row>
    <row r="2703" spans="1:5" ht="14.25" customHeight="1">
      <c r="A2703" s="4">
        <v>1213</v>
      </c>
      <c r="B2703" s="4">
        <v>26764</v>
      </c>
      <c r="C2703" s="17">
        <v>44767</v>
      </c>
      <c r="D2703" s="4">
        <v>81</v>
      </c>
      <c r="E2703" t="str">
        <f t="shared" si="42"/>
        <v>1213-26764-44767</v>
      </c>
    </row>
    <row r="2704" spans="1:5" ht="14.25" customHeight="1">
      <c r="A2704" s="4">
        <v>1213</v>
      </c>
      <c r="B2704" s="4">
        <v>26764</v>
      </c>
      <c r="C2704" s="17">
        <v>44774</v>
      </c>
      <c r="D2704" s="4">
        <v>184</v>
      </c>
      <c r="E2704" t="str">
        <f t="shared" si="42"/>
        <v>1213-26764-44774</v>
      </c>
    </row>
    <row r="2705" spans="1:5" ht="14.25" customHeight="1">
      <c r="A2705" s="4">
        <v>1213</v>
      </c>
      <c r="B2705" s="4">
        <v>26764</v>
      </c>
      <c r="C2705" s="17">
        <v>44781</v>
      </c>
      <c r="D2705" s="4">
        <v>189</v>
      </c>
      <c r="E2705" t="str">
        <f t="shared" si="42"/>
        <v>1213-26764-44781</v>
      </c>
    </row>
    <row r="2706" spans="1:5" ht="14.25" customHeight="1">
      <c r="A2706" s="4">
        <v>1213</v>
      </c>
      <c r="B2706" s="4">
        <v>26764</v>
      </c>
      <c r="C2706" s="17">
        <v>44788</v>
      </c>
      <c r="D2706" s="4">
        <v>162</v>
      </c>
      <c r="E2706" t="str">
        <f t="shared" si="42"/>
        <v>1213-26764-44788</v>
      </c>
    </row>
    <row r="2707" spans="1:5" ht="14.25" customHeight="1">
      <c r="A2707" s="4">
        <v>1213</v>
      </c>
      <c r="B2707" s="4">
        <v>53934</v>
      </c>
      <c r="C2707" s="17">
        <v>44739</v>
      </c>
      <c r="D2707" s="4">
        <v>633</v>
      </c>
      <c r="E2707" t="str">
        <f t="shared" si="42"/>
        <v>1213-53934-44739</v>
      </c>
    </row>
    <row r="2708" spans="1:5" ht="14.25" customHeight="1">
      <c r="A2708" s="4">
        <v>1213</v>
      </c>
      <c r="B2708" s="4">
        <v>53934</v>
      </c>
      <c r="C2708" s="17">
        <v>44746</v>
      </c>
      <c r="D2708" s="4">
        <v>612</v>
      </c>
      <c r="E2708" t="str">
        <f t="shared" si="42"/>
        <v>1213-53934-44746</v>
      </c>
    </row>
    <row r="2709" spans="1:5" ht="14.25" customHeight="1">
      <c r="A2709" s="4">
        <v>1213</v>
      </c>
      <c r="B2709" s="4">
        <v>53934</v>
      </c>
      <c r="C2709" s="17">
        <v>44753</v>
      </c>
      <c r="D2709" s="4">
        <v>658</v>
      </c>
      <c r="E2709" t="str">
        <f t="shared" si="42"/>
        <v>1213-53934-44753</v>
      </c>
    </row>
    <row r="2710" spans="1:5" ht="14.25" customHeight="1">
      <c r="A2710" s="4">
        <v>1213</v>
      </c>
      <c r="B2710" s="4">
        <v>53934</v>
      </c>
      <c r="C2710" s="17">
        <v>44760</v>
      </c>
      <c r="D2710" s="4">
        <v>759</v>
      </c>
      <c r="E2710" t="str">
        <f t="shared" si="42"/>
        <v>1213-53934-44760</v>
      </c>
    </row>
    <row r="2711" spans="1:5" ht="14.25" customHeight="1">
      <c r="A2711" s="4">
        <v>1213</v>
      </c>
      <c r="B2711" s="4">
        <v>53934</v>
      </c>
      <c r="C2711" s="17">
        <v>44767</v>
      </c>
      <c r="D2711" s="4">
        <v>819</v>
      </c>
      <c r="E2711" t="str">
        <f t="shared" si="42"/>
        <v>1213-53934-44767</v>
      </c>
    </row>
    <row r="2712" spans="1:5" ht="14.25" customHeight="1">
      <c r="A2712" s="4">
        <v>1213</v>
      </c>
      <c r="B2712" s="4">
        <v>53934</v>
      </c>
      <c r="C2712" s="17">
        <v>44774</v>
      </c>
      <c r="D2712" s="4">
        <v>632</v>
      </c>
      <c r="E2712" t="str">
        <f t="shared" si="42"/>
        <v>1213-53934-44774</v>
      </c>
    </row>
    <row r="2713" spans="1:5" ht="14.25" customHeight="1">
      <c r="A2713" s="4">
        <v>1213</v>
      </c>
      <c r="B2713" s="4">
        <v>53934</v>
      </c>
      <c r="C2713" s="17">
        <v>44781</v>
      </c>
      <c r="D2713" s="4">
        <v>342</v>
      </c>
      <c r="E2713" t="str">
        <f t="shared" si="42"/>
        <v>1213-53934-44781</v>
      </c>
    </row>
    <row r="2714" spans="1:5" ht="14.25" customHeight="1">
      <c r="A2714" s="4">
        <v>1213</v>
      </c>
      <c r="B2714" s="4">
        <v>53934</v>
      </c>
      <c r="C2714" s="17">
        <v>44788</v>
      </c>
      <c r="D2714" s="4">
        <v>870</v>
      </c>
      <c r="E2714" t="str">
        <f t="shared" si="42"/>
        <v>1213-53934-44788</v>
      </c>
    </row>
    <row r="2715" spans="1:5" ht="14.25" customHeight="1">
      <c r="A2715" s="4">
        <v>1213</v>
      </c>
      <c r="B2715" s="4">
        <v>78699</v>
      </c>
      <c r="C2715" s="17">
        <v>44739</v>
      </c>
      <c r="D2715" s="4">
        <v>18</v>
      </c>
      <c r="E2715" t="str">
        <f t="shared" si="42"/>
        <v>1213-78699-44739</v>
      </c>
    </row>
    <row r="2716" spans="1:5" ht="14.25" customHeight="1">
      <c r="A2716" s="4">
        <v>1213</v>
      </c>
      <c r="B2716" s="4">
        <v>78699</v>
      </c>
      <c r="C2716" s="17">
        <v>44746</v>
      </c>
      <c r="D2716" s="4">
        <v>20</v>
      </c>
      <c r="E2716" t="str">
        <f t="shared" si="42"/>
        <v>1213-78699-44746</v>
      </c>
    </row>
    <row r="2717" spans="1:5" ht="14.25" customHeight="1">
      <c r="A2717" s="4">
        <v>1213</v>
      </c>
      <c r="B2717" s="4">
        <v>78699</v>
      </c>
      <c r="C2717" s="17">
        <v>44753</v>
      </c>
      <c r="D2717" s="4">
        <v>16</v>
      </c>
      <c r="E2717" t="str">
        <f t="shared" si="42"/>
        <v>1213-78699-44753</v>
      </c>
    </row>
    <row r="2718" spans="1:5" ht="14.25" customHeight="1">
      <c r="A2718" s="4">
        <v>1213</v>
      </c>
      <c r="B2718" s="4">
        <v>78699</v>
      </c>
      <c r="C2718" s="17">
        <v>44760</v>
      </c>
      <c r="D2718" s="4">
        <v>20</v>
      </c>
      <c r="E2718" t="str">
        <f t="shared" si="42"/>
        <v>1213-78699-44760</v>
      </c>
    </row>
    <row r="2719" spans="1:5" ht="14.25" customHeight="1">
      <c r="A2719" s="4">
        <v>1213</v>
      </c>
      <c r="B2719" s="4">
        <v>78699</v>
      </c>
      <c r="C2719" s="17">
        <v>44767</v>
      </c>
      <c r="D2719" s="4">
        <v>15</v>
      </c>
      <c r="E2719" t="str">
        <f t="shared" si="42"/>
        <v>1213-78699-44767</v>
      </c>
    </row>
    <row r="2720" spans="1:5" ht="14.25" customHeight="1">
      <c r="A2720" s="4">
        <v>1213</v>
      </c>
      <c r="B2720" s="4">
        <v>78699</v>
      </c>
      <c r="C2720" s="17">
        <v>44774</v>
      </c>
      <c r="D2720" s="4">
        <v>8</v>
      </c>
      <c r="E2720" t="str">
        <f t="shared" si="42"/>
        <v>1213-78699-44774</v>
      </c>
    </row>
    <row r="2721" spans="1:5" ht="14.25" customHeight="1">
      <c r="A2721" s="4">
        <v>1213</v>
      </c>
      <c r="B2721" s="4">
        <v>78699</v>
      </c>
      <c r="C2721" s="17">
        <v>44781</v>
      </c>
      <c r="D2721" s="4">
        <v>18</v>
      </c>
      <c r="E2721" t="str">
        <f t="shared" si="42"/>
        <v>1213-78699-44781</v>
      </c>
    </row>
    <row r="2722" spans="1:5" ht="14.25" customHeight="1">
      <c r="A2722" s="4">
        <v>1213</v>
      </c>
      <c r="B2722" s="4">
        <v>78699</v>
      </c>
      <c r="C2722" s="17">
        <v>44788</v>
      </c>
      <c r="D2722" s="4">
        <v>16</v>
      </c>
      <c r="E2722" t="str">
        <f t="shared" si="42"/>
        <v>1213-78699-44788</v>
      </c>
    </row>
    <row r="2723" spans="1:5" ht="14.25" customHeight="1">
      <c r="A2723" s="4">
        <v>1213</v>
      </c>
      <c r="B2723" s="4">
        <v>78869</v>
      </c>
      <c r="C2723" s="17">
        <v>44739</v>
      </c>
      <c r="D2723" s="4">
        <v>27</v>
      </c>
      <c r="E2723" t="str">
        <f t="shared" si="42"/>
        <v>1213-78869-44739</v>
      </c>
    </row>
    <row r="2724" spans="1:5" ht="14.25" customHeight="1">
      <c r="A2724" s="4">
        <v>1213</v>
      </c>
      <c r="B2724" s="4">
        <v>78869</v>
      </c>
      <c r="C2724" s="17">
        <v>44746</v>
      </c>
      <c r="D2724" s="4">
        <v>63</v>
      </c>
      <c r="E2724" t="str">
        <f t="shared" si="42"/>
        <v>1213-78869-44746</v>
      </c>
    </row>
    <row r="2725" spans="1:5" ht="14.25" customHeight="1">
      <c r="A2725" s="4">
        <v>1213</v>
      </c>
      <c r="B2725" s="4">
        <v>78869</v>
      </c>
      <c r="C2725" s="17">
        <v>44753</v>
      </c>
      <c r="D2725" s="4">
        <v>28</v>
      </c>
      <c r="E2725" t="str">
        <f t="shared" si="42"/>
        <v>1213-78869-44753</v>
      </c>
    </row>
    <row r="2726" spans="1:5" ht="14.25" customHeight="1">
      <c r="A2726" s="4">
        <v>1213</v>
      </c>
      <c r="B2726" s="4">
        <v>78869</v>
      </c>
      <c r="C2726" s="17">
        <v>44760</v>
      </c>
      <c r="D2726" s="4">
        <v>71</v>
      </c>
      <c r="E2726" t="str">
        <f t="shared" si="42"/>
        <v>1213-78869-44760</v>
      </c>
    </row>
    <row r="2727" spans="1:5" ht="14.25" customHeight="1">
      <c r="A2727" s="4">
        <v>1213</v>
      </c>
      <c r="B2727" s="4">
        <v>78869</v>
      </c>
      <c r="C2727" s="17">
        <v>44767</v>
      </c>
      <c r="D2727" s="4">
        <v>54</v>
      </c>
      <c r="E2727" t="str">
        <f t="shared" si="42"/>
        <v>1213-78869-44767</v>
      </c>
    </row>
    <row r="2728" spans="1:5" ht="14.25" customHeight="1">
      <c r="A2728" s="4">
        <v>1213</v>
      </c>
      <c r="B2728" s="4">
        <v>78869</v>
      </c>
      <c r="C2728" s="17">
        <v>44774</v>
      </c>
      <c r="D2728" s="4">
        <v>55</v>
      </c>
      <c r="E2728" t="str">
        <f t="shared" si="42"/>
        <v>1213-78869-44774</v>
      </c>
    </row>
    <row r="2729" spans="1:5" ht="14.25" customHeight="1">
      <c r="A2729" s="4">
        <v>1213</v>
      </c>
      <c r="B2729" s="4">
        <v>78869</v>
      </c>
      <c r="C2729" s="17">
        <v>44781</v>
      </c>
      <c r="D2729" s="4">
        <v>51</v>
      </c>
      <c r="E2729" t="str">
        <f t="shared" si="42"/>
        <v>1213-78869-44781</v>
      </c>
    </row>
    <row r="2730" spans="1:5" ht="14.25" customHeight="1">
      <c r="A2730" s="4">
        <v>1213</v>
      </c>
      <c r="B2730" s="4">
        <v>78869</v>
      </c>
      <c r="C2730" s="17">
        <v>44788</v>
      </c>
      <c r="D2730" s="4">
        <v>54</v>
      </c>
      <c r="E2730" t="str">
        <f t="shared" si="42"/>
        <v>1213-78869-44788</v>
      </c>
    </row>
    <row r="2731" spans="1:5" ht="14.25" customHeight="1">
      <c r="A2731" s="4">
        <v>1213</v>
      </c>
      <c r="B2731" s="4">
        <v>115600</v>
      </c>
      <c r="C2731" s="17">
        <v>32874</v>
      </c>
      <c r="D2731" s="4">
        <v>9</v>
      </c>
      <c r="E2731" t="str">
        <f t="shared" si="42"/>
        <v>1213-115600-32874</v>
      </c>
    </row>
    <row r="2732" spans="1:5" ht="14.25" customHeight="1">
      <c r="A2732" s="4">
        <v>1213</v>
      </c>
      <c r="B2732" s="4">
        <v>115600</v>
      </c>
      <c r="C2732" s="17">
        <v>44739</v>
      </c>
      <c r="D2732" s="4">
        <v>16</v>
      </c>
      <c r="E2732" t="str">
        <f t="shared" si="42"/>
        <v>1213-115600-44739</v>
      </c>
    </row>
    <row r="2733" spans="1:5" ht="14.25" customHeight="1">
      <c r="A2733" s="4">
        <v>1213</v>
      </c>
      <c r="B2733" s="4">
        <v>115600</v>
      </c>
      <c r="C2733" s="17">
        <v>44746</v>
      </c>
      <c r="D2733" s="4">
        <v>21</v>
      </c>
      <c r="E2733" t="str">
        <f t="shared" si="42"/>
        <v>1213-115600-44746</v>
      </c>
    </row>
    <row r="2734" spans="1:5" ht="14.25" customHeight="1">
      <c r="A2734" s="4">
        <v>1213</v>
      </c>
      <c r="B2734" s="4">
        <v>115600</v>
      </c>
      <c r="C2734" s="17">
        <v>44753</v>
      </c>
      <c r="D2734" s="4">
        <v>9</v>
      </c>
      <c r="E2734" t="str">
        <f t="shared" si="42"/>
        <v>1213-115600-44753</v>
      </c>
    </row>
    <row r="2735" spans="1:5" ht="14.25" customHeight="1">
      <c r="A2735" s="4">
        <v>1213</v>
      </c>
      <c r="B2735" s="4">
        <v>115600</v>
      </c>
      <c r="C2735" s="17">
        <v>44760</v>
      </c>
      <c r="D2735" s="4">
        <v>15</v>
      </c>
      <c r="E2735" t="str">
        <f t="shared" si="42"/>
        <v>1213-115600-44760</v>
      </c>
    </row>
    <row r="2736" spans="1:5" ht="14.25" customHeight="1">
      <c r="A2736" s="4">
        <v>1213</v>
      </c>
      <c r="B2736" s="4">
        <v>115600</v>
      </c>
      <c r="C2736" s="17">
        <v>44767</v>
      </c>
      <c r="D2736" s="4">
        <v>15</v>
      </c>
      <c r="E2736" t="str">
        <f t="shared" si="42"/>
        <v>1213-115600-44767</v>
      </c>
    </row>
    <row r="2737" spans="1:5" ht="14.25" customHeight="1">
      <c r="A2737" s="4">
        <v>1213</v>
      </c>
      <c r="B2737" s="4">
        <v>115600</v>
      </c>
      <c r="C2737" s="17">
        <v>44774</v>
      </c>
      <c r="D2737" s="4">
        <v>16</v>
      </c>
      <c r="E2737" t="str">
        <f t="shared" si="42"/>
        <v>1213-115600-44774</v>
      </c>
    </row>
    <row r="2738" spans="1:5" ht="14.25" customHeight="1">
      <c r="A2738" s="4">
        <v>1213</v>
      </c>
      <c r="B2738" s="4">
        <v>115600</v>
      </c>
      <c r="C2738" s="17">
        <v>44781</v>
      </c>
      <c r="D2738" s="4">
        <v>17</v>
      </c>
      <c r="E2738" t="str">
        <f t="shared" si="42"/>
        <v>1213-115600-44781</v>
      </c>
    </row>
    <row r="2739" spans="1:5" ht="14.25" customHeight="1">
      <c r="A2739" s="4">
        <v>1213</v>
      </c>
      <c r="B2739" s="4">
        <v>115600</v>
      </c>
      <c r="C2739" s="17">
        <v>44788</v>
      </c>
      <c r="D2739" s="4">
        <v>18</v>
      </c>
      <c r="E2739" t="str">
        <f t="shared" si="42"/>
        <v>1213-115600-44788</v>
      </c>
    </row>
    <row r="2740" spans="1:5" ht="14.25" customHeight="1">
      <c r="A2740" s="4">
        <v>1213</v>
      </c>
      <c r="B2740" s="4">
        <v>129208</v>
      </c>
      <c r="C2740" s="17">
        <v>44739</v>
      </c>
      <c r="D2740" s="4">
        <v>28</v>
      </c>
      <c r="E2740" t="str">
        <f t="shared" si="42"/>
        <v>1213-129208-44739</v>
      </c>
    </row>
    <row r="2741" spans="1:5" ht="14.25" customHeight="1">
      <c r="A2741" s="4">
        <v>1213</v>
      </c>
      <c r="B2741" s="4">
        <v>129208</v>
      </c>
      <c r="C2741" s="17">
        <v>44746</v>
      </c>
      <c r="D2741" s="4">
        <v>21</v>
      </c>
      <c r="E2741" t="str">
        <f t="shared" si="42"/>
        <v>1213-129208-44746</v>
      </c>
    </row>
    <row r="2742" spans="1:5" ht="14.25" customHeight="1">
      <c r="A2742" s="4">
        <v>1213</v>
      </c>
      <c r="B2742" s="4">
        <v>129208</v>
      </c>
      <c r="C2742" s="17">
        <v>44753</v>
      </c>
      <c r="D2742" s="4">
        <v>24</v>
      </c>
      <c r="E2742" t="str">
        <f t="shared" si="42"/>
        <v>1213-129208-44753</v>
      </c>
    </row>
    <row r="2743" spans="1:5" ht="14.25" customHeight="1">
      <c r="A2743" s="4">
        <v>1213</v>
      </c>
      <c r="B2743" s="4">
        <v>129208</v>
      </c>
      <c r="C2743" s="17">
        <v>44760</v>
      </c>
      <c r="D2743" s="4">
        <v>8</v>
      </c>
      <c r="E2743" t="str">
        <f t="shared" si="42"/>
        <v>1213-129208-44760</v>
      </c>
    </row>
    <row r="2744" spans="1:5" ht="14.25" customHeight="1">
      <c r="A2744" s="4">
        <v>1213</v>
      </c>
      <c r="B2744" s="4">
        <v>129208</v>
      </c>
      <c r="C2744" s="17">
        <v>44767</v>
      </c>
      <c r="D2744" s="4">
        <v>23</v>
      </c>
      <c r="E2744" t="str">
        <f t="shared" si="42"/>
        <v>1213-129208-44767</v>
      </c>
    </row>
    <row r="2745" spans="1:5" ht="14.25" customHeight="1">
      <c r="A2745" s="4">
        <v>1213</v>
      </c>
      <c r="B2745" s="4">
        <v>129208</v>
      </c>
      <c r="C2745" s="17">
        <v>44774</v>
      </c>
      <c r="D2745" s="4">
        <v>18</v>
      </c>
      <c r="E2745" t="str">
        <f t="shared" si="42"/>
        <v>1213-129208-44774</v>
      </c>
    </row>
    <row r="2746" spans="1:5" ht="14.25" customHeight="1">
      <c r="A2746" s="4">
        <v>1213</v>
      </c>
      <c r="B2746" s="4">
        <v>129208</v>
      </c>
      <c r="C2746" s="17">
        <v>44781</v>
      </c>
      <c r="D2746" s="4">
        <v>28</v>
      </c>
      <c r="E2746" t="str">
        <f t="shared" si="42"/>
        <v>1213-129208-44781</v>
      </c>
    </row>
    <row r="2747" spans="1:5" ht="14.25" customHeight="1">
      <c r="A2747" s="4">
        <v>1213</v>
      </c>
      <c r="B2747" s="4">
        <v>129208</v>
      </c>
      <c r="C2747" s="17">
        <v>44788</v>
      </c>
      <c r="D2747" s="4">
        <v>18</v>
      </c>
      <c r="E2747" t="str">
        <f t="shared" si="42"/>
        <v>1213-129208-44788</v>
      </c>
    </row>
    <row r="2748" spans="1:5" ht="14.25" customHeight="1">
      <c r="A2748" s="4">
        <v>1213</v>
      </c>
      <c r="B2748" s="4">
        <v>141622</v>
      </c>
      <c r="C2748" s="17">
        <v>44739</v>
      </c>
      <c r="D2748" s="4">
        <v>20</v>
      </c>
      <c r="E2748" t="str">
        <f t="shared" si="42"/>
        <v>1213-141622-44739</v>
      </c>
    </row>
    <row r="2749" spans="1:5" ht="14.25" customHeight="1">
      <c r="A2749" s="4">
        <v>1213</v>
      </c>
      <c r="B2749" s="4">
        <v>141622</v>
      </c>
      <c r="C2749" s="17">
        <v>44746</v>
      </c>
      <c r="D2749" s="4">
        <v>18</v>
      </c>
      <c r="E2749" t="str">
        <f t="shared" si="42"/>
        <v>1213-141622-44746</v>
      </c>
    </row>
    <row r="2750" spans="1:5" ht="14.25" customHeight="1">
      <c r="A2750" s="4">
        <v>1213</v>
      </c>
      <c r="B2750" s="4">
        <v>141622</v>
      </c>
      <c r="C2750" s="17">
        <v>44753</v>
      </c>
      <c r="D2750" s="4">
        <v>12</v>
      </c>
      <c r="E2750" t="str">
        <f t="shared" si="42"/>
        <v>1213-141622-44753</v>
      </c>
    </row>
    <row r="2751" spans="1:5" ht="14.25" customHeight="1">
      <c r="A2751" s="4">
        <v>1213</v>
      </c>
      <c r="B2751" s="4">
        <v>141622</v>
      </c>
      <c r="C2751" s="17">
        <v>44760</v>
      </c>
      <c r="D2751" s="4">
        <v>16</v>
      </c>
      <c r="E2751" t="str">
        <f t="shared" si="42"/>
        <v>1213-141622-44760</v>
      </c>
    </row>
    <row r="2752" spans="1:5" ht="14.25" customHeight="1">
      <c r="A2752" s="4">
        <v>1213</v>
      </c>
      <c r="B2752" s="4">
        <v>141622</v>
      </c>
      <c r="C2752" s="17">
        <v>44767</v>
      </c>
      <c r="D2752" s="4">
        <v>14</v>
      </c>
      <c r="E2752" t="str">
        <f t="shared" si="42"/>
        <v>1213-141622-44767</v>
      </c>
    </row>
    <row r="2753" spans="1:5" ht="14.25" customHeight="1">
      <c r="A2753" s="4">
        <v>1213</v>
      </c>
      <c r="B2753" s="4">
        <v>141622</v>
      </c>
      <c r="C2753" s="17">
        <v>44774</v>
      </c>
      <c r="D2753" s="4">
        <v>17</v>
      </c>
      <c r="E2753" t="str">
        <f t="shared" si="42"/>
        <v>1213-141622-44774</v>
      </c>
    </row>
    <row r="2754" spans="1:5" ht="14.25" customHeight="1">
      <c r="A2754" s="4">
        <v>1213</v>
      </c>
      <c r="B2754" s="4">
        <v>141622</v>
      </c>
      <c r="C2754" s="17">
        <v>44781</v>
      </c>
      <c r="D2754" s="4">
        <v>2</v>
      </c>
      <c r="E2754" t="str">
        <f t="shared" si="42"/>
        <v>1213-141622-44781</v>
      </c>
    </row>
    <row r="2755" spans="1:5" ht="14.25" customHeight="1">
      <c r="A2755" s="4">
        <v>1213</v>
      </c>
      <c r="B2755" s="4">
        <v>141622</v>
      </c>
      <c r="C2755" s="17">
        <v>44788</v>
      </c>
      <c r="D2755" s="4">
        <v>12</v>
      </c>
      <c r="E2755" t="str">
        <f t="shared" ref="E2755:E2818" si="43">A2755&amp;"-"&amp;B2755&amp;"-"&amp;INT(C2755)</f>
        <v>1213-141622-44788</v>
      </c>
    </row>
    <row r="2756" spans="1:5" ht="14.25" customHeight="1">
      <c r="A2756" s="4">
        <v>1213</v>
      </c>
      <c r="B2756" s="4">
        <v>141626</v>
      </c>
      <c r="C2756" s="17">
        <v>44739</v>
      </c>
      <c r="D2756" s="4">
        <v>366</v>
      </c>
      <c r="E2756" t="str">
        <f t="shared" si="43"/>
        <v>1213-141626-44739</v>
      </c>
    </row>
    <row r="2757" spans="1:5" ht="14.25" customHeight="1">
      <c r="A2757" s="4">
        <v>1213</v>
      </c>
      <c r="B2757" s="4">
        <v>141626</v>
      </c>
      <c r="C2757" s="17">
        <v>44746</v>
      </c>
      <c r="D2757" s="4">
        <v>434</v>
      </c>
      <c r="E2757" t="str">
        <f t="shared" si="43"/>
        <v>1213-141626-44746</v>
      </c>
    </row>
    <row r="2758" spans="1:5" ht="14.25" customHeight="1">
      <c r="A2758" s="4">
        <v>1213</v>
      </c>
      <c r="B2758" s="4">
        <v>141626</v>
      </c>
      <c r="C2758" s="17">
        <v>44753</v>
      </c>
      <c r="D2758" s="4">
        <v>473</v>
      </c>
      <c r="E2758" t="str">
        <f t="shared" si="43"/>
        <v>1213-141626-44753</v>
      </c>
    </row>
    <row r="2759" spans="1:5" ht="14.25" customHeight="1">
      <c r="A2759" s="4">
        <v>1213</v>
      </c>
      <c r="B2759" s="4">
        <v>141626</v>
      </c>
      <c r="C2759" s="17">
        <v>44760</v>
      </c>
      <c r="D2759" s="4">
        <v>366</v>
      </c>
      <c r="E2759" t="str">
        <f t="shared" si="43"/>
        <v>1213-141626-44760</v>
      </c>
    </row>
    <row r="2760" spans="1:5" ht="14.25" customHeight="1">
      <c r="A2760" s="4">
        <v>1213</v>
      </c>
      <c r="B2760" s="4">
        <v>141626</v>
      </c>
      <c r="C2760" s="17">
        <v>44767</v>
      </c>
      <c r="D2760" s="4">
        <v>483</v>
      </c>
      <c r="E2760" t="str">
        <f t="shared" si="43"/>
        <v>1213-141626-44767</v>
      </c>
    </row>
    <row r="2761" spans="1:5" ht="14.25" customHeight="1">
      <c r="A2761" s="4">
        <v>1213</v>
      </c>
      <c r="B2761" s="4">
        <v>141626</v>
      </c>
      <c r="C2761" s="17">
        <v>44774</v>
      </c>
      <c r="D2761" s="4">
        <v>497</v>
      </c>
      <c r="E2761" t="str">
        <f t="shared" si="43"/>
        <v>1213-141626-44774</v>
      </c>
    </row>
    <row r="2762" spans="1:5" ht="14.25" customHeight="1">
      <c r="A2762" s="4">
        <v>1213</v>
      </c>
      <c r="B2762" s="4">
        <v>141626</v>
      </c>
      <c r="C2762" s="17">
        <v>44781</v>
      </c>
      <c r="D2762" s="4">
        <v>441</v>
      </c>
      <c r="E2762" t="str">
        <f t="shared" si="43"/>
        <v>1213-141626-44781</v>
      </c>
    </row>
    <row r="2763" spans="1:5" ht="14.25" customHeight="1">
      <c r="A2763" s="4">
        <v>1213</v>
      </c>
      <c r="B2763" s="4">
        <v>141626</v>
      </c>
      <c r="C2763" s="17">
        <v>44788</v>
      </c>
      <c r="D2763" s="4">
        <v>217</v>
      </c>
      <c r="E2763" t="str">
        <f t="shared" si="43"/>
        <v>1213-141626-44788</v>
      </c>
    </row>
    <row r="2764" spans="1:5" ht="14.25" customHeight="1">
      <c r="A2764" s="4">
        <v>1213</v>
      </c>
      <c r="B2764" s="4">
        <v>141791</v>
      </c>
      <c r="C2764" s="17">
        <v>44739</v>
      </c>
      <c r="D2764" s="4">
        <v>3</v>
      </c>
      <c r="E2764" t="str">
        <f t="shared" si="43"/>
        <v>1213-141791-44739</v>
      </c>
    </row>
    <row r="2765" spans="1:5" ht="14.25" customHeight="1">
      <c r="A2765" s="4">
        <v>1213</v>
      </c>
      <c r="B2765" s="4">
        <v>141791</v>
      </c>
      <c r="C2765" s="17">
        <v>44746</v>
      </c>
      <c r="D2765" s="4">
        <v>3</v>
      </c>
      <c r="E2765" t="str">
        <f t="shared" si="43"/>
        <v>1213-141791-44746</v>
      </c>
    </row>
    <row r="2766" spans="1:5" ht="14.25" customHeight="1">
      <c r="A2766" s="4">
        <v>1213</v>
      </c>
      <c r="B2766" s="4">
        <v>141791</v>
      </c>
      <c r="C2766" s="17">
        <v>44753</v>
      </c>
      <c r="D2766" s="4">
        <v>3</v>
      </c>
      <c r="E2766" t="str">
        <f t="shared" si="43"/>
        <v>1213-141791-44753</v>
      </c>
    </row>
    <row r="2767" spans="1:5" ht="14.25" customHeight="1">
      <c r="A2767" s="4">
        <v>1213</v>
      </c>
      <c r="B2767" s="4">
        <v>141791</v>
      </c>
      <c r="C2767" s="17">
        <v>44760</v>
      </c>
      <c r="D2767" s="4">
        <v>3</v>
      </c>
      <c r="E2767" t="str">
        <f t="shared" si="43"/>
        <v>1213-141791-44760</v>
      </c>
    </row>
    <row r="2768" spans="1:5" ht="14.25" customHeight="1">
      <c r="A2768" s="4">
        <v>1213</v>
      </c>
      <c r="B2768" s="4">
        <v>141791</v>
      </c>
      <c r="C2768" s="17">
        <v>44767</v>
      </c>
      <c r="D2768" s="4">
        <v>3</v>
      </c>
      <c r="E2768" t="str">
        <f t="shared" si="43"/>
        <v>1213-141791-44767</v>
      </c>
    </row>
    <row r="2769" spans="1:5" ht="14.25" customHeight="1">
      <c r="A2769" s="4">
        <v>1213</v>
      </c>
      <c r="B2769" s="4">
        <v>141791</v>
      </c>
      <c r="C2769" s="17">
        <v>44774</v>
      </c>
      <c r="D2769" s="4">
        <v>3</v>
      </c>
      <c r="E2769" t="str">
        <f t="shared" si="43"/>
        <v>1213-141791-44774</v>
      </c>
    </row>
    <row r="2770" spans="1:5" ht="14.25" customHeight="1">
      <c r="A2770" s="4">
        <v>1213</v>
      </c>
      <c r="B2770" s="4">
        <v>141791</v>
      </c>
      <c r="C2770" s="17">
        <v>44781</v>
      </c>
      <c r="D2770" s="4">
        <v>3</v>
      </c>
      <c r="E2770" t="str">
        <f t="shared" si="43"/>
        <v>1213-141791-44781</v>
      </c>
    </row>
    <row r="2771" spans="1:5" ht="14.25" customHeight="1">
      <c r="A2771" s="4">
        <v>1213</v>
      </c>
      <c r="B2771" s="4">
        <v>141791</v>
      </c>
      <c r="C2771" s="17">
        <v>44788</v>
      </c>
      <c r="D2771" s="4">
        <v>3</v>
      </c>
      <c r="E2771" t="str">
        <f t="shared" si="43"/>
        <v>1213-141791-44788</v>
      </c>
    </row>
    <row r="2772" spans="1:5" ht="14.25" customHeight="1">
      <c r="A2772" s="4">
        <v>1213</v>
      </c>
      <c r="B2772" s="4">
        <v>141846</v>
      </c>
      <c r="C2772" s="17">
        <v>44739</v>
      </c>
      <c r="D2772" s="4">
        <v>11</v>
      </c>
      <c r="E2772" t="str">
        <f t="shared" si="43"/>
        <v>1213-141846-44739</v>
      </c>
    </row>
    <row r="2773" spans="1:5" ht="14.25" customHeight="1">
      <c r="A2773" s="4">
        <v>1213</v>
      </c>
      <c r="B2773" s="4">
        <v>141846</v>
      </c>
      <c r="C2773" s="17">
        <v>44746</v>
      </c>
      <c r="D2773" s="4">
        <v>11</v>
      </c>
      <c r="E2773" t="str">
        <f t="shared" si="43"/>
        <v>1213-141846-44746</v>
      </c>
    </row>
    <row r="2774" spans="1:5" ht="14.25" customHeight="1">
      <c r="A2774" s="4">
        <v>1213</v>
      </c>
      <c r="B2774" s="4">
        <v>141846</v>
      </c>
      <c r="C2774" s="17">
        <v>44753</v>
      </c>
      <c r="D2774" s="4">
        <v>9</v>
      </c>
      <c r="E2774" t="str">
        <f t="shared" si="43"/>
        <v>1213-141846-44753</v>
      </c>
    </row>
    <row r="2775" spans="1:5" ht="14.25" customHeight="1">
      <c r="A2775" s="4">
        <v>1213</v>
      </c>
      <c r="B2775" s="4">
        <v>141846</v>
      </c>
      <c r="C2775" s="17">
        <v>44760</v>
      </c>
      <c r="D2775" s="4">
        <v>0</v>
      </c>
      <c r="E2775" t="str">
        <f t="shared" si="43"/>
        <v>1213-141846-44760</v>
      </c>
    </row>
    <row r="2776" spans="1:5" ht="14.25" customHeight="1">
      <c r="A2776" s="4">
        <v>1213</v>
      </c>
      <c r="B2776" s="4">
        <v>141846</v>
      </c>
      <c r="C2776" s="17">
        <v>44767</v>
      </c>
      <c r="D2776" s="4">
        <v>12</v>
      </c>
      <c r="E2776" t="str">
        <f t="shared" si="43"/>
        <v>1213-141846-44767</v>
      </c>
    </row>
    <row r="2777" spans="1:5" ht="14.25" customHeight="1">
      <c r="A2777" s="4">
        <v>1213</v>
      </c>
      <c r="B2777" s="4">
        <v>141846</v>
      </c>
      <c r="C2777" s="17">
        <v>44774</v>
      </c>
      <c r="D2777" s="4">
        <v>12</v>
      </c>
      <c r="E2777" t="str">
        <f t="shared" si="43"/>
        <v>1213-141846-44774</v>
      </c>
    </row>
    <row r="2778" spans="1:5" ht="14.25" customHeight="1">
      <c r="A2778" s="4">
        <v>1213</v>
      </c>
      <c r="B2778" s="4">
        <v>141846</v>
      </c>
      <c r="C2778" s="17">
        <v>44781</v>
      </c>
      <c r="D2778" s="4">
        <v>6</v>
      </c>
      <c r="E2778" t="str">
        <f t="shared" si="43"/>
        <v>1213-141846-44781</v>
      </c>
    </row>
    <row r="2779" spans="1:5" ht="14.25" customHeight="1">
      <c r="A2779" s="4">
        <v>1213</v>
      </c>
      <c r="B2779" s="4">
        <v>141846</v>
      </c>
      <c r="C2779" s="17">
        <v>44788</v>
      </c>
      <c r="D2779" s="4">
        <v>6</v>
      </c>
      <c r="E2779" t="str">
        <f t="shared" si="43"/>
        <v>1213-141846-44788</v>
      </c>
    </row>
    <row r="2780" spans="1:5" ht="14.25" customHeight="1">
      <c r="A2780" s="4">
        <v>1213</v>
      </c>
      <c r="B2780" s="4">
        <v>141967</v>
      </c>
      <c r="C2780" s="17">
        <v>44739</v>
      </c>
      <c r="D2780" s="4">
        <v>1</v>
      </c>
      <c r="E2780" t="str">
        <f t="shared" si="43"/>
        <v>1213-141967-44739</v>
      </c>
    </row>
    <row r="2781" spans="1:5" ht="14.25" customHeight="1">
      <c r="A2781" s="4">
        <v>1213</v>
      </c>
      <c r="B2781" s="4">
        <v>141967</v>
      </c>
      <c r="C2781" s="17">
        <v>44746</v>
      </c>
      <c r="D2781" s="4">
        <v>9</v>
      </c>
      <c r="E2781" t="str">
        <f t="shared" si="43"/>
        <v>1213-141967-44746</v>
      </c>
    </row>
    <row r="2782" spans="1:5" ht="14.25" customHeight="1">
      <c r="A2782" s="4">
        <v>1213</v>
      </c>
      <c r="B2782" s="4">
        <v>141967</v>
      </c>
      <c r="C2782" s="17">
        <v>44753</v>
      </c>
      <c r="D2782" s="4">
        <v>1</v>
      </c>
      <c r="E2782" t="str">
        <f t="shared" si="43"/>
        <v>1213-141967-44753</v>
      </c>
    </row>
    <row r="2783" spans="1:5" ht="14.25" customHeight="1">
      <c r="A2783" s="4">
        <v>1213</v>
      </c>
      <c r="B2783" s="4">
        <v>141967</v>
      </c>
      <c r="C2783" s="17">
        <v>44760</v>
      </c>
      <c r="D2783" s="4">
        <v>15</v>
      </c>
      <c r="E2783" t="str">
        <f t="shared" si="43"/>
        <v>1213-141967-44760</v>
      </c>
    </row>
    <row r="2784" spans="1:5" ht="14.25" customHeight="1">
      <c r="A2784" s="4">
        <v>1213</v>
      </c>
      <c r="B2784" s="4">
        <v>141967</v>
      </c>
      <c r="C2784" s="17">
        <v>44767</v>
      </c>
      <c r="D2784" s="4">
        <v>9</v>
      </c>
      <c r="E2784" t="str">
        <f t="shared" si="43"/>
        <v>1213-141967-44767</v>
      </c>
    </row>
    <row r="2785" spans="1:5" ht="14.25" customHeight="1">
      <c r="A2785" s="4">
        <v>1213</v>
      </c>
      <c r="B2785" s="4">
        <v>141967</v>
      </c>
      <c r="C2785" s="17">
        <v>44774</v>
      </c>
      <c r="D2785" s="4">
        <v>9</v>
      </c>
      <c r="E2785" t="str">
        <f t="shared" si="43"/>
        <v>1213-141967-44774</v>
      </c>
    </row>
    <row r="2786" spans="1:5" ht="14.25" customHeight="1">
      <c r="A2786" s="4">
        <v>1213</v>
      </c>
      <c r="B2786" s="4">
        <v>141967</v>
      </c>
      <c r="C2786" s="17">
        <v>44781</v>
      </c>
      <c r="D2786" s="4">
        <v>11</v>
      </c>
      <c r="E2786" t="str">
        <f t="shared" si="43"/>
        <v>1213-141967-44781</v>
      </c>
    </row>
    <row r="2787" spans="1:5" ht="14.25" customHeight="1">
      <c r="A2787" s="4">
        <v>1213</v>
      </c>
      <c r="B2787" s="4">
        <v>141967</v>
      </c>
      <c r="C2787" s="17">
        <v>44788</v>
      </c>
      <c r="D2787" s="4">
        <v>9</v>
      </c>
      <c r="E2787" t="str">
        <f t="shared" si="43"/>
        <v>1213-141967-44788</v>
      </c>
    </row>
    <row r="2788" spans="1:5" ht="14.25" customHeight="1">
      <c r="A2788" s="4">
        <v>1213</v>
      </c>
      <c r="B2788" s="4">
        <v>142194</v>
      </c>
      <c r="C2788" s="17">
        <v>44739</v>
      </c>
      <c r="D2788" s="4">
        <v>22</v>
      </c>
      <c r="E2788" t="str">
        <f t="shared" si="43"/>
        <v>1213-142194-44739</v>
      </c>
    </row>
    <row r="2789" spans="1:5" ht="14.25" customHeight="1">
      <c r="A2789" s="4">
        <v>1213</v>
      </c>
      <c r="B2789" s="4">
        <v>142194</v>
      </c>
      <c r="C2789" s="17">
        <v>44746</v>
      </c>
      <c r="D2789" s="4">
        <v>7</v>
      </c>
      <c r="E2789" t="str">
        <f t="shared" si="43"/>
        <v>1213-142194-44746</v>
      </c>
    </row>
    <row r="2790" spans="1:5" ht="14.25" customHeight="1">
      <c r="A2790" s="4">
        <v>1213</v>
      </c>
      <c r="B2790" s="4">
        <v>142194</v>
      </c>
      <c r="C2790" s="17">
        <v>44753</v>
      </c>
      <c r="D2790" s="4">
        <v>24</v>
      </c>
      <c r="E2790" t="str">
        <f t="shared" si="43"/>
        <v>1213-142194-44753</v>
      </c>
    </row>
    <row r="2791" spans="1:5" ht="14.25" customHeight="1">
      <c r="A2791" s="4">
        <v>1213</v>
      </c>
      <c r="B2791" s="4">
        <v>142194</v>
      </c>
      <c r="C2791" s="17">
        <v>44760</v>
      </c>
      <c r="D2791" s="4">
        <v>15</v>
      </c>
      <c r="E2791" t="str">
        <f t="shared" si="43"/>
        <v>1213-142194-44760</v>
      </c>
    </row>
    <row r="2792" spans="1:5" ht="14.25" customHeight="1">
      <c r="A2792" s="4">
        <v>1213</v>
      </c>
      <c r="B2792" s="4">
        <v>142194</v>
      </c>
      <c r="C2792" s="17">
        <v>44767</v>
      </c>
      <c r="D2792" s="4">
        <v>17</v>
      </c>
      <c r="E2792" t="str">
        <f t="shared" si="43"/>
        <v>1213-142194-44767</v>
      </c>
    </row>
    <row r="2793" spans="1:5" ht="14.25" customHeight="1">
      <c r="A2793" s="4">
        <v>1213</v>
      </c>
      <c r="B2793" s="4">
        <v>142194</v>
      </c>
      <c r="C2793" s="17">
        <v>44774</v>
      </c>
      <c r="D2793" s="4">
        <v>20</v>
      </c>
      <c r="E2793" t="str">
        <f t="shared" si="43"/>
        <v>1213-142194-44774</v>
      </c>
    </row>
    <row r="2794" spans="1:5" ht="14.25" customHeight="1">
      <c r="A2794" s="4">
        <v>1213</v>
      </c>
      <c r="B2794" s="4">
        <v>142194</v>
      </c>
      <c r="C2794" s="17">
        <v>44781</v>
      </c>
      <c r="D2794" s="4">
        <v>2</v>
      </c>
      <c r="E2794" t="str">
        <f t="shared" si="43"/>
        <v>1213-142194-44781</v>
      </c>
    </row>
    <row r="2795" spans="1:5" ht="14.25" customHeight="1">
      <c r="A2795" s="4">
        <v>1213</v>
      </c>
      <c r="B2795" s="4">
        <v>142194</v>
      </c>
      <c r="C2795" s="17">
        <v>44788</v>
      </c>
      <c r="D2795" s="4">
        <v>15</v>
      </c>
      <c r="E2795" t="str">
        <f t="shared" si="43"/>
        <v>1213-142194-44788</v>
      </c>
    </row>
    <row r="2796" spans="1:5" ht="14.25" customHeight="1">
      <c r="A2796" s="4">
        <v>1213</v>
      </c>
      <c r="B2796" s="4">
        <v>149729</v>
      </c>
      <c r="C2796" s="17">
        <v>44739</v>
      </c>
      <c r="D2796" s="4">
        <v>91</v>
      </c>
      <c r="E2796" t="str">
        <f t="shared" si="43"/>
        <v>1213-149729-44739</v>
      </c>
    </row>
    <row r="2797" spans="1:5" ht="14.25" customHeight="1">
      <c r="A2797" s="4">
        <v>1213</v>
      </c>
      <c r="B2797" s="4">
        <v>149729</v>
      </c>
      <c r="C2797" s="17">
        <v>44746</v>
      </c>
      <c r="D2797" s="4">
        <v>93</v>
      </c>
      <c r="E2797" t="str">
        <f t="shared" si="43"/>
        <v>1213-149729-44746</v>
      </c>
    </row>
    <row r="2798" spans="1:5" ht="14.25" customHeight="1">
      <c r="A2798" s="4">
        <v>1213</v>
      </c>
      <c r="B2798" s="4">
        <v>149729</v>
      </c>
      <c r="C2798" s="17">
        <v>44753</v>
      </c>
      <c r="D2798" s="4">
        <v>24</v>
      </c>
      <c r="E2798" t="str">
        <f t="shared" si="43"/>
        <v>1213-149729-44753</v>
      </c>
    </row>
    <row r="2799" spans="1:5" ht="14.25" customHeight="1">
      <c r="A2799" s="4">
        <v>1213</v>
      </c>
      <c r="B2799" s="4">
        <v>149729</v>
      </c>
      <c r="C2799" s="17">
        <v>44760</v>
      </c>
      <c r="D2799" s="4">
        <v>36</v>
      </c>
      <c r="E2799" t="str">
        <f t="shared" si="43"/>
        <v>1213-149729-44760</v>
      </c>
    </row>
    <row r="2800" spans="1:5" ht="14.25" customHeight="1">
      <c r="A2800" s="4">
        <v>1213</v>
      </c>
      <c r="B2800" s="4">
        <v>149729</v>
      </c>
      <c r="C2800" s="17">
        <v>44767</v>
      </c>
      <c r="D2800" s="4">
        <v>102</v>
      </c>
      <c r="E2800" t="str">
        <f t="shared" si="43"/>
        <v>1213-149729-44767</v>
      </c>
    </row>
    <row r="2801" spans="1:5" ht="14.25" customHeight="1">
      <c r="A2801" s="4">
        <v>1213</v>
      </c>
      <c r="B2801" s="4">
        <v>149729</v>
      </c>
      <c r="C2801" s="17">
        <v>44774</v>
      </c>
      <c r="D2801" s="4">
        <v>114</v>
      </c>
      <c r="E2801" t="str">
        <f t="shared" si="43"/>
        <v>1213-149729-44774</v>
      </c>
    </row>
    <row r="2802" spans="1:5" ht="14.25" customHeight="1">
      <c r="A2802" s="4">
        <v>1213</v>
      </c>
      <c r="B2802" s="4">
        <v>149729</v>
      </c>
      <c r="C2802" s="17">
        <v>44781</v>
      </c>
      <c r="D2802" s="4">
        <v>86</v>
      </c>
      <c r="E2802" t="str">
        <f t="shared" si="43"/>
        <v>1213-149729-44781</v>
      </c>
    </row>
    <row r="2803" spans="1:5" ht="14.25" customHeight="1">
      <c r="A2803" s="4">
        <v>1213</v>
      </c>
      <c r="B2803" s="4">
        <v>149729</v>
      </c>
      <c r="C2803" s="17">
        <v>44788</v>
      </c>
      <c r="D2803" s="4">
        <v>29</v>
      </c>
      <c r="E2803" t="str">
        <f t="shared" si="43"/>
        <v>1213-149729-44788</v>
      </c>
    </row>
    <row r="2804" spans="1:5" ht="14.25" customHeight="1">
      <c r="A2804" s="4">
        <v>1213</v>
      </c>
      <c r="B2804" s="4">
        <v>149779</v>
      </c>
      <c r="C2804" s="17">
        <v>44739</v>
      </c>
      <c r="D2804" s="4">
        <v>350</v>
      </c>
      <c r="E2804" t="str">
        <f t="shared" si="43"/>
        <v>1213-149779-44739</v>
      </c>
    </row>
    <row r="2805" spans="1:5" ht="14.25" customHeight="1">
      <c r="A2805" s="4">
        <v>1213</v>
      </c>
      <c r="B2805" s="4">
        <v>149779</v>
      </c>
      <c r="C2805" s="17">
        <v>44746</v>
      </c>
      <c r="D2805" s="4">
        <v>125</v>
      </c>
      <c r="E2805" t="str">
        <f t="shared" si="43"/>
        <v>1213-149779-44746</v>
      </c>
    </row>
    <row r="2806" spans="1:5" ht="14.25" customHeight="1">
      <c r="A2806" s="4">
        <v>1213</v>
      </c>
      <c r="B2806" s="4">
        <v>149779</v>
      </c>
      <c r="C2806" s="17">
        <v>44753</v>
      </c>
      <c r="D2806" s="4">
        <v>304</v>
      </c>
      <c r="E2806" t="str">
        <f t="shared" si="43"/>
        <v>1213-149779-44753</v>
      </c>
    </row>
    <row r="2807" spans="1:5" ht="14.25" customHeight="1">
      <c r="A2807" s="4">
        <v>1213</v>
      </c>
      <c r="B2807" s="4">
        <v>149779</v>
      </c>
      <c r="C2807" s="17">
        <v>44760</v>
      </c>
      <c r="D2807" s="4">
        <v>406</v>
      </c>
      <c r="E2807" t="str">
        <f t="shared" si="43"/>
        <v>1213-149779-44760</v>
      </c>
    </row>
    <row r="2808" spans="1:5" ht="14.25" customHeight="1">
      <c r="A2808" s="4">
        <v>1213</v>
      </c>
      <c r="B2808" s="4">
        <v>149779</v>
      </c>
      <c r="C2808" s="17">
        <v>44767</v>
      </c>
      <c r="D2808" s="4">
        <v>360</v>
      </c>
      <c r="E2808" t="str">
        <f t="shared" si="43"/>
        <v>1213-149779-44767</v>
      </c>
    </row>
    <row r="2809" spans="1:5" ht="14.25" customHeight="1">
      <c r="A2809" s="4">
        <v>1213</v>
      </c>
      <c r="B2809" s="4">
        <v>149779</v>
      </c>
      <c r="C2809" s="17">
        <v>44774</v>
      </c>
      <c r="D2809" s="4">
        <v>376</v>
      </c>
      <c r="E2809" t="str">
        <f t="shared" si="43"/>
        <v>1213-149779-44774</v>
      </c>
    </row>
    <row r="2810" spans="1:5" ht="14.25" customHeight="1">
      <c r="A2810" s="4">
        <v>1213</v>
      </c>
      <c r="B2810" s="4">
        <v>149779</v>
      </c>
      <c r="C2810" s="17">
        <v>44781</v>
      </c>
      <c r="D2810" s="4">
        <v>129</v>
      </c>
      <c r="E2810" t="str">
        <f t="shared" si="43"/>
        <v>1213-149779-44781</v>
      </c>
    </row>
    <row r="2811" spans="1:5" ht="14.25" customHeight="1">
      <c r="A2811" s="4">
        <v>1213</v>
      </c>
      <c r="B2811" s="4">
        <v>149779</v>
      </c>
      <c r="C2811" s="17">
        <v>44788</v>
      </c>
      <c r="D2811" s="4">
        <v>127</v>
      </c>
      <c r="E2811" t="str">
        <f t="shared" si="43"/>
        <v>1213-149779-44788</v>
      </c>
    </row>
    <row r="2812" spans="1:5" ht="14.25" customHeight="1">
      <c r="A2812" s="4">
        <v>1213</v>
      </c>
      <c r="B2812" s="4">
        <v>189933</v>
      </c>
      <c r="C2812" s="17">
        <v>44739</v>
      </c>
      <c r="D2812" s="4">
        <v>117</v>
      </c>
      <c r="E2812" t="str">
        <f t="shared" si="43"/>
        <v>1213-189933-44739</v>
      </c>
    </row>
    <row r="2813" spans="1:5" ht="14.25" customHeight="1">
      <c r="A2813" s="4">
        <v>1213</v>
      </c>
      <c r="B2813" s="4">
        <v>189933</v>
      </c>
      <c r="C2813" s="17">
        <v>44746</v>
      </c>
      <c r="D2813" s="4">
        <v>61</v>
      </c>
      <c r="E2813" t="str">
        <f t="shared" si="43"/>
        <v>1213-189933-44746</v>
      </c>
    </row>
    <row r="2814" spans="1:5" ht="14.25" customHeight="1">
      <c r="A2814" s="4">
        <v>1213</v>
      </c>
      <c r="B2814" s="4">
        <v>189933</v>
      </c>
      <c r="C2814" s="17">
        <v>44753</v>
      </c>
      <c r="D2814" s="4">
        <v>63</v>
      </c>
      <c r="E2814" t="str">
        <f t="shared" si="43"/>
        <v>1213-189933-44753</v>
      </c>
    </row>
    <row r="2815" spans="1:5" ht="14.25" customHeight="1">
      <c r="A2815" s="4">
        <v>1213</v>
      </c>
      <c r="B2815" s="4">
        <v>189933</v>
      </c>
      <c r="C2815" s="17">
        <v>44760</v>
      </c>
      <c r="D2815" s="4">
        <v>179</v>
      </c>
      <c r="E2815" t="str">
        <f t="shared" si="43"/>
        <v>1213-189933-44760</v>
      </c>
    </row>
    <row r="2816" spans="1:5" ht="14.25" customHeight="1">
      <c r="A2816" s="4">
        <v>1213</v>
      </c>
      <c r="B2816" s="4">
        <v>189933</v>
      </c>
      <c r="C2816" s="17">
        <v>44767</v>
      </c>
      <c r="D2816" s="4">
        <v>166</v>
      </c>
      <c r="E2816" t="str">
        <f t="shared" si="43"/>
        <v>1213-189933-44767</v>
      </c>
    </row>
    <row r="2817" spans="1:5" ht="14.25" customHeight="1">
      <c r="A2817" s="4">
        <v>1213</v>
      </c>
      <c r="B2817" s="4">
        <v>189933</v>
      </c>
      <c r="C2817" s="17">
        <v>44774</v>
      </c>
      <c r="D2817" s="4">
        <v>215</v>
      </c>
      <c r="E2817" t="str">
        <f t="shared" si="43"/>
        <v>1213-189933-44774</v>
      </c>
    </row>
    <row r="2818" spans="1:5" ht="14.25" customHeight="1">
      <c r="A2818" s="4">
        <v>1213</v>
      </c>
      <c r="B2818" s="4">
        <v>189933</v>
      </c>
      <c r="C2818" s="17">
        <v>44781</v>
      </c>
      <c r="D2818" s="4">
        <v>230</v>
      </c>
      <c r="E2818" t="str">
        <f t="shared" si="43"/>
        <v>1213-189933-44781</v>
      </c>
    </row>
    <row r="2819" spans="1:5" ht="14.25" customHeight="1">
      <c r="A2819" s="4">
        <v>1213</v>
      </c>
      <c r="B2819" s="4">
        <v>189933</v>
      </c>
      <c r="C2819" s="17">
        <v>44788</v>
      </c>
      <c r="D2819" s="4">
        <v>60</v>
      </c>
      <c r="E2819" t="str">
        <f t="shared" ref="E2819:E2882" si="44">A2819&amp;"-"&amp;B2819&amp;"-"&amp;INT(C2819)</f>
        <v>1213-189933-44788</v>
      </c>
    </row>
    <row r="2820" spans="1:5" ht="14.25" customHeight="1">
      <c r="A2820" s="4">
        <v>1213</v>
      </c>
      <c r="B2820" s="4">
        <v>202577</v>
      </c>
      <c r="C2820" s="17">
        <v>44739</v>
      </c>
      <c r="D2820" s="4">
        <v>54</v>
      </c>
      <c r="E2820" t="str">
        <f t="shared" si="44"/>
        <v>1213-202577-44739</v>
      </c>
    </row>
    <row r="2821" spans="1:5" ht="14.25" customHeight="1">
      <c r="A2821" s="4">
        <v>1213</v>
      </c>
      <c r="B2821" s="4">
        <v>202577</v>
      </c>
      <c r="C2821" s="17">
        <v>44746</v>
      </c>
      <c r="D2821" s="4">
        <v>20</v>
      </c>
      <c r="E2821" t="str">
        <f t="shared" si="44"/>
        <v>1213-202577-44746</v>
      </c>
    </row>
    <row r="2822" spans="1:5" ht="14.25" customHeight="1">
      <c r="A2822" s="4">
        <v>1213</v>
      </c>
      <c r="B2822" s="4">
        <v>202577</v>
      </c>
      <c r="C2822" s="17">
        <v>44753</v>
      </c>
      <c r="D2822" s="4">
        <v>63</v>
      </c>
      <c r="E2822" t="str">
        <f t="shared" si="44"/>
        <v>1213-202577-44753</v>
      </c>
    </row>
    <row r="2823" spans="1:5" ht="14.25" customHeight="1">
      <c r="A2823" s="4">
        <v>1213</v>
      </c>
      <c r="B2823" s="4">
        <v>202577</v>
      </c>
      <c r="C2823" s="17">
        <v>44760</v>
      </c>
      <c r="D2823" s="4">
        <v>34</v>
      </c>
      <c r="E2823" t="str">
        <f t="shared" si="44"/>
        <v>1213-202577-44760</v>
      </c>
    </row>
    <row r="2824" spans="1:5" ht="14.25" customHeight="1">
      <c r="A2824" s="4">
        <v>1213</v>
      </c>
      <c r="B2824" s="4">
        <v>202577</v>
      </c>
      <c r="C2824" s="17">
        <v>44767</v>
      </c>
      <c r="D2824" s="4">
        <v>56</v>
      </c>
      <c r="E2824" t="str">
        <f t="shared" si="44"/>
        <v>1213-202577-44767</v>
      </c>
    </row>
    <row r="2825" spans="1:5" ht="14.25" customHeight="1">
      <c r="A2825" s="4">
        <v>1213</v>
      </c>
      <c r="B2825" s="4">
        <v>202577</v>
      </c>
      <c r="C2825" s="17">
        <v>44774</v>
      </c>
      <c r="D2825" s="4">
        <v>52</v>
      </c>
      <c r="E2825" t="str">
        <f t="shared" si="44"/>
        <v>1213-202577-44774</v>
      </c>
    </row>
    <row r="2826" spans="1:5" ht="14.25" customHeight="1">
      <c r="A2826" s="4">
        <v>1213</v>
      </c>
      <c r="B2826" s="4">
        <v>202577</v>
      </c>
      <c r="C2826" s="17">
        <v>44781</v>
      </c>
      <c r="D2826" s="4">
        <v>58</v>
      </c>
      <c r="E2826" t="str">
        <f t="shared" si="44"/>
        <v>1213-202577-44781</v>
      </c>
    </row>
    <row r="2827" spans="1:5" ht="14.25" customHeight="1">
      <c r="A2827" s="4">
        <v>1213</v>
      </c>
      <c r="B2827" s="4">
        <v>202577</v>
      </c>
      <c r="C2827" s="17">
        <v>44788</v>
      </c>
      <c r="D2827" s="4">
        <v>24</v>
      </c>
      <c r="E2827" t="str">
        <f t="shared" si="44"/>
        <v>1213-202577-44788</v>
      </c>
    </row>
    <row r="2828" spans="1:5" ht="14.25" customHeight="1">
      <c r="A2828" s="4">
        <v>1213</v>
      </c>
      <c r="B2828" s="4">
        <v>234334</v>
      </c>
      <c r="C2828" s="17">
        <v>44739</v>
      </c>
      <c r="D2828" s="4">
        <v>19</v>
      </c>
      <c r="E2828" t="str">
        <f t="shared" si="44"/>
        <v>1213-234334-44739</v>
      </c>
    </row>
    <row r="2829" spans="1:5" ht="14.25" customHeight="1">
      <c r="A2829" s="4">
        <v>1213</v>
      </c>
      <c r="B2829" s="4">
        <v>234334</v>
      </c>
      <c r="C2829" s="17">
        <v>44746</v>
      </c>
      <c r="D2829" s="4">
        <v>19</v>
      </c>
      <c r="E2829" t="str">
        <f t="shared" si="44"/>
        <v>1213-234334-44746</v>
      </c>
    </row>
    <row r="2830" spans="1:5" ht="14.25" customHeight="1">
      <c r="A2830" s="4">
        <v>1213</v>
      </c>
      <c r="B2830" s="4">
        <v>234334</v>
      </c>
      <c r="C2830" s="17">
        <v>44753</v>
      </c>
      <c r="D2830" s="4">
        <v>17</v>
      </c>
      <c r="E2830" t="str">
        <f t="shared" si="44"/>
        <v>1213-234334-44753</v>
      </c>
    </row>
    <row r="2831" spans="1:5" ht="14.25" customHeight="1">
      <c r="A2831" s="4">
        <v>1213</v>
      </c>
      <c r="B2831" s="4">
        <v>234334</v>
      </c>
      <c r="C2831" s="17">
        <v>44760</v>
      </c>
      <c r="D2831" s="4">
        <v>18</v>
      </c>
      <c r="E2831" t="str">
        <f t="shared" si="44"/>
        <v>1213-234334-44760</v>
      </c>
    </row>
    <row r="2832" spans="1:5" ht="14.25" customHeight="1">
      <c r="A2832" s="4">
        <v>1213</v>
      </c>
      <c r="B2832" s="4">
        <v>234334</v>
      </c>
      <c r="C2832" s="17">
        <v>44767</v>
      </c>
      <c r="D2832" s="4">
        <v>5</v>
      </c>
      <c r="E2832" t="str">
        <f t="shared" si="44"/>
        <v>1213-234334-44767</v>
      </c>
    </row>
    <row r="2833" spans="1:5" ht="14.25" customHeight="1">
      <c r="A2833" s="4">
        <v>1213</v>
      </c>
      <c r="B2833" s="4">
        <v>234334</v>
      </c>
      <c r="C2833" s="17">
        <v>44774</v>
      </c>
      <c r="D2833" s="4">
        <v>9</v>
      </c>
      <c r="E2833" t="str">
        <f t="shared" si="44"/>
        <v>1213-234334-44774</v>
      </c>
    </row>
    <row r="2834" spans="1:5" ht="14.25" customHeight="1">
      <c r="A2834" s="4">
        <v>1213</v>
      </c>
      <c r="B2834" s="4">
        <v>234334</v>
      </c>
      <c r="C2834" s="17">
        <v>44781</v>
      </c>
      <c r="D2834" s="4">
        <v>16</v>
      </c>
      <c r="E2834" t="str">
        <f t="shared" si="44"/>
        <v>1213-234334-44781</v>
      </c>
    </row>
    <row r="2835" spans="1:5" ht="14.25" customHeight="1">
      <c r="A2835" s="4">
        <v>1213</v>
      </c>
      <c r="B2835" s="4">
        <v>234334</v>
      </c>
      <c r="C2835" s="17">
        <v>44788</v>
      </c>
      <c r="D2835" s="4">
        <v>15</v>
      </c>
      <c r="E2835" t="str">
        <f t="shared" si="44"/>
        <v>1213-234334-44788</v>
      </c>
    </row>
    <row r="2836" spans="1:5" ht="14.25" customHeight="1">
      <c r="A2836" s="4">
        <v>1213</v>
      </c>
      <c r="B2836" s="4">
        <v>249444</v>
      </c>
      <c r="C2836" s="17">
        <v>44739</v>
      </c>
      <c r="D2836" s="4">
        <v>380</v>
      </c>
      <c r="E2836" t="str">
        <f t="shared" si="44"/>
        <v>1213-249444-44739</v>
      </c>
    </row>
    <row r="2837" spans="1:5" ht="14.25" customHeight="1">
      <c r="A2837" s="4">
        <v>1213</v>
      </c>
      <c r="B2837" s="4">
        <v>249444</v>
      </c>
      <c r="C2837" s="17">
        <v>44746</v>
      </c>
      <c r="D2837" s="4">
        <v>85</v>
      </c>
      <c r="E2837" t="str">
        <f t="shared" si="44"/>
        <v>1213-249444-44746</v>
      </c>
    </row>
    <row r="2838" spans="1:5" ht="14.25" customHeight="1">
      <c r="A2838" s="4">
        <v>1213</v>
      </c>
      <c r="B2838" s="4">
        <v>249444</v>
      </c>
      <c r="C2838" s="17">
        <v>44753</v>
      </c>
      <c r="D2838" s="4">
        <v>98</v>
      </c>
      <c r="E2838" t="str">
        <f t="shared" si="44"/>
        <v>1213-249444-44753</v>
      </c>
    </row>
    <row r="2839" spans="1:5" ht="14.25" customHeight="1">
      <c r="A2839" s="4">
        <v>1213</v>
      </c>
      <c r="B2839" s="4">
        <v>249444</v>
      </c>
      <c r="C2839" s="17">
        <v>44760</v>
      </c>
      <c r="D2839" s="4">
        <v>84</v>
      </c>
      <c r="E2839" t="str">
        <f t="shared" si="44"/>
        <v>1213-249444-44760</v>
      </c>
    </row>
    <row r="2840" spans="1:5" ht="14.25" customHeight="1">
      <c r="A2840" s="4">
        <v>1213</v>
      </c>
      <c r="B2840" s="4">
        <v>249444</v>
      </c>
      <c r="C2840" s="17">
        <v>44767</v>
      </c>
      <c r="D2840" s="4">
        <v>238</v>
      </c>
      <c r="E2840" t="str">
        <f t="shared" si="44"/>
        <v>1213-249444-44767</v>
      </c>
    </row>
    <row r="2841" spans="1:5" ht="14.25" customHeight="1">
      <c r="A2841" s="4">
        <v>1213</v>
      </c>
      <c r="B2841" s="4">
        <v>249444</v>
      </c>
      <c r="C2841" s="17">
        <v>44774</v>
      </c>
      <c r="D2841" s="4">
        <v>83</v>
      </c>
      <c r="E2841" t="str">
        <f t="shared" si="44"/>
        <v>1213-249444-44774</v>
      </c>
    </row>
    <row r="2842" spans="1:5" ht="14.25" customHeight="1">
      <c r="A2842" s="4">
        <v>1213</v>
      </c>
      <c r="B2842" s="4">
        <v>249444</v>
      </c>
      <c r="C2842" s="17">
        <v>44781</v>
      </c>
      <c r="D2842" s="4">
        <v>85</v>
      </c>
      <c r="E2842" t="str">
        <f t="shared" si="44"/>
        <v>1213-249444-44781</v>
      </c>
    </row>
    <row r="2843" spans="1:5" ht="14.25" customHeight="1">
      <c r="A2843" s="4">
        <v>1213</v>
      </c>
      <c r="B2843" s="4">
        <v>249444</v>
      </c>
      <c r="C2843" s="17">
        <v>44788</v>
      </c>
      <c r="D2843" s="4">
        <v>330</v>
      </c>
      <c r="E2843" t="str">
        <f t="shared" si="44"/>
        <v>1213-249444-44788</v>
      </c>
    </row>
    <row r="2844" spans="1:5" ht="14.25" customHeight="1">
      <c r="A2844" s="4">
        <v>1213</v>
      </c>
      <c r="B2844" s="4">
        <v>249795</v>
      </c>
      <c r="C2844" s="17">
        <v>44739</v>
      </c>
      <c r="D2844" s="4">
        <v>16</v>
      </c>
      <c r="E2844" t="str">
        <f t="shared" si="44"/>
        <v>1213-249795-44739</v>
      </c>
    </row>
    <row r="2845" spans="1:5" ht="14.25" customHeight="1">
      <c r="A2845" s="4">
        <v>1213</v>
      </c>
      <c r="B2845" s="4">
        <v>249795</v>
      </c>
      <c r="C2845" s="17">
        <v>44746</v>
      </c>
      <c r="D2845" s="4">
        <v>16</v>
      </c>
      <c r="E2845" t="str">
        <f t="shared" si="44"/>
        <v>1213-249795-44746</v>
      </c>
    </row>
    <row r="2846" spans="1:5" ht="14.25" customHeight="1">
      <c r="A2846" s="4">
        <v>1213</v>
      </c>
      <c r="B2846" s="4">
        <v>249795</v>
      </c>
      <c r="C2846" s="17">
        <v>44753</v>
      </c>
      <c r="D2846" s="4">
        <v>15</v>
      </c>
      <c r="E2846" t="str">
        <f t="shared" si="44"/>
        <v>1213-249795-44753</v>
      </c>
    </row>
    <row r="2847" spans="1:5" ht="14.25" customHeight="1">
      <c r="A2847" s="4">
        <v>1213</v>
      </c>
      <c r="B2847" s="4">
        <v>249795</v>
      </c>
      <c r="C2847" s="17">
        <v>44760</v>
      </c>
      <c r="D2847" s="4">
        <v>16</v>
      </c>
      <c r="E2847" t="str">
        <f t="shared" si="44"/>
        <v>1213-249795-44760</v>
      </c>
    </row>
    <row r="2848" spans="1:5" ht="14.25" customHeight="1">
      <c r="A2848" s="4">
        <v>1213</v>
      </c>
      <c r="B2848" s="4">
        <v>249795</v>
      </c>
      <c r="C2848" s="17">
        <v>44767</v>
      </c>
      <c r="D2848" s="4">
        <v>15</v>
      </c>
      <c r="E2848" t="str">
        <f t="shared" si="44"/>
        <v>1213-249795-44767</v>
      </c>
    </row>
    <row r="2849" spans="1:5" ht="14.25" customHeight="1">
      <c r="A2849" s="4">
        <v>1213</v>
      </c>
      <c r="B2849" s="4">
        <v>249795</v>
      </c>
      <c r="C2849" s="17">
        <v>44774</v>
      </c>
      <c r="D2849" s="4">
        <v>12</v>
      </c>
      <c r="E2849" t="str">
        <f t="shared" si="44"/>
        <v>1213-249795-44774</v>
      </c>
    </row>
    <row r="2850" spans="1:5" ht="14.25" customHeight="1">
      <c r="A2850" s="4">
        <v>1213</v>
      </c>
      <c r="B2850" s="4">
        <v>249795</v>
      </c>
      <c r="C2850" s="17">
        <v>44781</v>
      </c>
      <c r="D2850" s="4">
        <v>16</v>
      </c>
      <c r="E2850" t="str">
        <f t="shared" si="44"/>
        <v>1213-249795-44781</v>
      </c>
    </row>
    <row r="2851" spans="1:5" ht="14.25" customHeight="1">
      <c r="A2851" s="4">
        <v>1213</v>
      </c>
      <c r="B2851" s="4">
        <v>249795</v>
      </c>
      <c r="C2851" s="17">
        <v>44788</v>
      </c>
      <c r="D2851" s="4">
        <v>12</v>
      </c>
      <c r="E2851" t="str">
        <f t="shared" si="44"/>
        <v>1213-249795-44788</v>
      </c>
    </row>
    <row r="2852" spans="1:5" ht="14.25" customHeight="1">
      <c r="A2852" s="4">
        <v>1213</v>
      </c>
      <c r="B2852" s="4">
        <v>250979</v>
      </c>
      <c r="C2852" s="17">
        <v>44739</v>
      </c>
      <c r="D2852" s="4">
        <v>30</v>
      </c>
      <c r="E2852" t="str">
        <f t="shared" si="44"/>
        <v>1213-250979-44739</v>
      </c>
    </row>
    <row r="2853" spans="1:5" ht="14.25" customHeight="1">
      <c r="A2853" s="4">
        <v>1213</v>
      </c>
      <c r="B2853" s="4">
        <v>250979</v>
      </c>
      <c r="C2853" s="17">
        <v>44746</v>
      </c>
      <c r="D2853" s="4">
        <v>46</v>
      </c>
      <c r="E2853" t="str">
        <f t="shared" si="44"/>
        <v>1213-250979-44746</v>
      </c>
    </row>
    <row r="2854" spans="1:5" ht="14.25" customHeight="1">
      <c r="A2854" s="4">
        <v>1213</v>
      </c>
      <c r="B2854" s="4">
        <v>250979</v>
      </c>
      <c r="C2854" s="17">
        <v>44753</v>
      </c>
      <c r="D2854" s="4">
        <v>64</v>
      </c>
      <c r="E2854" t="str">
        <f t="shared" si="44"/>
        <v>1213-250979-44753</v>
      </c>
    </row>
    <row r="2855" spans="1:5" ht="14.25" customHeight="1">
      <c r="A2855" s="4">
        <v>1213</v>
      </c>
      <c r="B2855" s="4">
        <v>250979</v>
      </c>
      <c r="C2855" s="17">
        <v>44760</v>
      </c>
      <c r="D2855" s="4">
        <v>41</v>
      </c>
      <c r="E2855" t="str">
        <f t="shared" si="44"/>
        <v>1213-250979-44760</v>
      </c>
    </row>
    <row r="2856" spans="1:5" ht="14.25" customHeight="1">
      <c r="A2856" s="4">
        <v>1213</v>
      </c>
      <c r="B2856" s="4">
        <v>250979</v>
      </c>
      <c r="C2856" s="17">
        <v>44767</v>
      </c>
      <c r="D2856" s="4">
        <v>48</v>
      </c>
      <c r="E2856" t="str">
        <f t="shared" si="44"/>
        <v>1213-250979-44767</v>
      </c>
    </row>
    <row r="2857" spans="1:5" ht="14.25" customHeight="1">
      <c r="A2857" s="4">
        <v>1213</v>
      </c>
      <c r="B2857" s="4">
        <v>250979</v>
      </c>
      <c r="C2857" s="17">
        <v>44774</v>
      </c>
      <c r="D2857" s="4">
        <v>62</v>
      </c>
      <c r="E2857" t="str">
        <f t="shared" si="44"/>
        <v>1213-250979-44774</v>
      </c>
    </row>
    <row r="2858" spans="1:5" ht="14.25" customHeight="1">
      <c r="A2858" s="4">
        <v>1213</v>
      </c>
      <c r="B2858" s="4">
        <v>250979</v>
      </c>
      <c r="C2858" s="17">
        <v>44781</v>
      </c>
      <c r="D2858" s="4">
        <v>20</v>
      </c>
      <c r="E2858" t="str">
        <f t="shared" si="44"/>
        <v>1213-250979-44781</v>
      </c>
    </row>
    <row r="2859" spans="1:5" ht="14.25" customHeight="1">
      <c r="A2859" s="4">
        <v>1213</v>
      </c>
      <c r="B2859" s="4">
        <v>250979</v>
      </c>
      <c r="C2859" s="17">
        <v>44788</v>
      </c>
      <c r="D2859" s="4">
        <v>19</v>
      </c>
      <c r="E2859" t="str">
        <f t="shared" si="44"/>
        <v>1213-250979-44788</v>
      </c>
    </row>
    <row r="2860" spans="1:5" ht="14.25" customHeight="1">
      <c r="A2860" s="4">
        <v>1213</v>
      </c>
      <c r="B2860" s="4">
        <v>250981</v>
      </c>
      <c r="C2860" s="17">
        <v>44739</v>
      </c>
      <c r="D2860" s="4">
        <v>11</v>
      </c>
      <c r="E2860" t="str">
        <f t="shared" si="44"/>
        <v>1213-250981-44739</v>
      </c>
    </row>
    <row r="2861" spans="1:5" ht="14.25" customHeight="1">
      <c r="A2861" s="4">
        <v>1213</v>
      </c>
      <c r="B2861" s="4">
        <v>250981</v>
      </c>
      <c r="C2861" s="17">
        <v>44746</v>
      </c>
      <c r="D2861" s="4">
        <v>6</v>
      </c>
      <c r="E2861" t="str">
        <f t="shared" si="44"/>
        <v>1213-250981-44746</v>
      </c>
    </row>
    <row r="2862" spans="1:5" ht="14.25" customHeight="1">
      <c r="A2862" s="4">
        <v>1213</v>
      </c>
      <c r="B2862" s="4">
        <v>250981</v>
      </c>
      <c r="C2862" s="17">
        <v>44753</v>
      </c>
      <c r="D2862" s="4">
        <v>-1</v>
      </c>
      <c r="E2862" t="str">
        <f t="shared" si="44"/>
        <v>1213-250981-44753</v>
      </c>
    </row>
    <row r="2863" spans="1:5" ht="14.25" customHeight="1">
      <c r="A2863" s="4">
        <v>1213</v>
      </c>
      <c r="B2863" s="4">
        <v>250981</v>
      </c>
      <c r="C2863" s="17">
        <v>44760</v>
      </c>
      <c r="D2863" s="4">
        <v>6</v>
      </c>
      <c r="E2863" t="str">
        <f t="shared" si="44"/>
        <v>1213-250981-44760</v>
      </c>
    </row>
    <row r="2864" spans="1:5" ht="14.25" customHeight="1">
      <c r="A2864" s="4">
        <v>1213</v>
      </c>
      <c r="B2864" s="4">
        <v>250981</v>
      </c>
      <c r="C2864" s="17">
        <v>44767</v>
      </c>
      <c r="D2864" s="4">
        <v>9</v>
      </c>
      <c r="E2864" t="str">
        <f t="shared" si="44"/>
        <v>1213-250981-44767</v>
      </c>
    </row>
    <row r="2865" spans="1:5" ht="14.25" customHeight="1">
      <c r="A2865" s="4">
        <v>1213</v>
      </c>
      <c r="B2865" s="4">
        <v>250981</v>
      </c>
      <c r="C2865" s="17">
        <v>44774</v>
      </c>
      <c r="D2865" s="4">
        <v>3</v>
      </c>
      <c r="E2865" t="str">
        <f t="shared" si="44"/>
        <v>1213-250981-44774</v>
      </c>
    </row>
    <row r="2866" spans="1:5" ht="14.25" customHeight="1">
      <c r="A2866" s="4">
        <v>1213</v>
      </c>
      <c r="B2866" s="4">
        <v>250981</v>
      </c>
      <c r="C2866" s="17">
        <v>44781</v>
      </c>
      <c r="D2866" s="4">
        <v>11</v>
      </c>
      <c r="E2866" t="str">
        <f t="shared" si="44"/>
        <v>1213-250981-44781</v>
      </c>
    </row>
    <row r="2867" spans="1:5" ht="14.25" customHeight="1">
      <c r="A2867" s="4">
        <v>1213</v>
      </c>
      <c r="B2867" s="4">
        <v>250981</v>
      </c>
      <c r="C2867" s="17">
        <v>44788</v>
      </c>
      <c r="D2867" s="4">
        <v>6</v>
      </c>
      <c r="E2867" t="str">
        <f t="shared" si="44"/>
        <v>1213-250981-44788</v>
      </c>
    </row>
    <row r="2868" spans="1:5" ht="14.25" customHeight="1">
      <c r="A2868" s="4">
        <v>1213</v>
      </c>
      <c r="B2868" s="4">
        <v>262294</v>
      </c>
      <c r="C2868" s="17">
        <v>44739</v>
      </c>
      <c r="D2868" s="4">
        <v>67</v>
      </c>
      <c r="E2868" t="str">
        <f t="shared" si="44"/>
        <v>1213-262294-44739</v>
      </c>
    </row>
    <row r="2869" spans="1:5" ht="14.25" customHeight="1">
      <c r="A2869" s="4">
        <v>1213</v>
      </c>
      <c r="B2869" s="4">
        <v>262294</v>
      </c>
      <c r="C2869" s="17">
        <v>44746</v>
      </c>
      <c r="D2869" s="4">
        <v>168</v>
      </c>
      <c r="E2869" t="str">
        <f t="shared" si="44"/>
        <v>1213-262294-44746</v>
      </c>
    </row>
    <row r="2870" spans="1:5" ht="14.25" customHeight="1">
      <c r="A2870" s="4">
        <v>1213</v>
      </c>
      <c r="B2870" s="4">
        <v>262294</v>
      </c>
      <c r="C2870" s="17">
        <v>44753</v>
      </c>
      <c r="D2870" s="4">
        <v>138</v>
      </c>
      <c r="E2870" t="str">
        <f t="shared" si="44"/>
        <v>1213-262294-44753</v>
      </c>
    </row>
    <row r="2871" spans="1:5" ht="14.25" customHeight="1">
      <c r="A2871" s="4">
        <v>1213</v>
      </c>
      <c r="B2871" s="4">
        <v>262294</v>
      </c>
      <c r="C2871" s="17">
        <v>44760</v>
      </c>
      <c r="D2871" s="4">
        <v>164</v>
      </c>
      <c r="E2871" t="str">
        <f t="shared" si="44"/>
        <v>1213-262294-44760</v>
      </c>
    </row>
    <row r="2872" spans="1:5" ht="14.25" customHeight="1">
      <c r="A2872" s="4">
        <v>1213</v>
      </c>
      <c r="B2872" s="4">
        <v>262294</v>
      </c>
      <c r="C2872" s="17">
        <v>44767</v>
      </c>
      <c r="D2872" s="4">
        <v>162</v>
      </c>
      <c r="E2872" t="str">
        <f t="shared" si="44"/>
        <v>1213-262294-44767</v>
      </c>
    </row>
    <row r="2873" spans="1:5" ht="14.25" customHeight="1">
      <c r="A2873" s="4">
        <v>1213</v>
      </c>
      <c r="B2873" s="4">
        <v>262294</v>
      </c>
      <c r="C2873" s="17">
        <v>44774</v>
      </c>
      <c r="D2873" s="4">
        <v>140</v>
      </c>
      <c r="E2873" t="str">
        <f t="shared" si="44"/>
        <v>1213-262294-44774</v>
      </c>
    </row>
    <row r="2874" spans="1:5" ht="14.25" customHeight="1">
      <c r="A2874" s="4">
        <v>1213</v>
      </c>
      <c r="B2874" s="4">
        <v>262294</v>
      </c>
      <c r="C2874" s="17">
        <v>44781</v>
      </c>
      <c r="D2874" s="4">
        <v>150</v>
      </c>
      <c r="E2874" t="str">
        <f t="shared" si="44"/>
        <v>1213-262294-44781</v>
      </c>
    </row>
    <row r="2875" spans="1:5" ht="14.25" customHeight="1">
      <c r="A2875" s="4">
        <v>1213</v>
      </c>
      <c r="B2875" s="4">
        <v>262294</v>
      </c>
      <c r="C2875" s="17">
        <v>44788</v>
      </c>
      <c r="D2875" s="4">
        <v>120</v>
      </c>
      <c r="E2875" t="str">
        <f t="shared" si="44"/>
        <v>1213-262294-44788</v>
      </c>
    </row>
    <row r="2876" spans="1:5" ht="14.25" customHeight="1">
      <c r="A2876" s="4">
        <v>1213</v>
      </c>
      <c r="B2876" s="4">
        <v>268831</v>
      </c>
      <c r="C2876" s="17">
        <v>44739</v>
      </c>
      <c r="D2876" s="4">
        <v>169</v>
      </c>
      <c r="E2876" t="str">
        <f t="shared" si="44"/>
        <v>1213-268831-44739</v>
      </c>
    </row>
    <row r="2877" spans="1:5" ht="14.25" customHeight="1">
      <c r="A2877" s="4">
        <v>1213</v>
      </c>
      <c r="B2877" s="4">
        <v>268831</v>
      </c>
      <c r="C2877" s="17">
        <v>44746</v>
      </c>
      <c r="D2877" s="4">
        <v>167</v>
      </c>
      <c r="E2877" t="str">
        <f t="shared" si="44"/>
        <v>1213-268831-44746</v>
      </c>
    </row>
    <row r="2878" spans="1:5" ht="14.25" customHeight="1">
      <c r="A2878" s="4">
        <v>1213</v>
      </c>
      <c r="B2878" s="4">
        <v>268831</v>
      </c>
      <c r="C2878" s="17">
        <v>44753</v>
      </c>
      <c r="D2878" s="4">
        <v>166</v>
      </c>
      <c r="E2878" t="str">
        <f t="shared" si="44"/>
        <v>1213-268831-44753</v>
      </c>
    </row>
    <row r="2879" spans="1:5" ht="14.25" customHeight="1">
      <c r="A2879" s="4">
        <v>1213</v>
      </c>
      <c r="B2879" s="4">
        <v>268831</v>
      </c>
      <c r="C2879" s="17">
        <v>44760</v>
      </c>
      <c r="D2879" s="4">
        <v>690</v>
      </c>
      <c r="E2879" t="str">
        <f t="shared" si="44"/>
        <v>1213-268831-44760</v>
      </c>
    </row>
    <row r="2880" spans="1:5" ht="14.25" customHeight="1">
      <c r="A2880" s="4">
        <v>1213</v>
      </c>
      <c r="B2880" s="4">
        <v>268831</v>
      </c>
      <c r="C2880" s="17">
        <v>44767</v>
      </c>
      <c r="D2880" s="4">
        <v>516</v>
      </c>
      <c r="E2880" t="str">
        <f t="shared" si="44"/>
        <v>1213-268831-44767</v>
      </c>
    </row>
    <row r="2881" spans="1:5" ht="14.25" customHeight="1">
      <c r="A2881" s="4">
        <v>1213</v>
      </c>
      <c r="B2881" s="4">
        <v>268831</v>
      </c>
      <c r="C2881" s="17">
        <v>44774</v>
      </c>
      <c r="D2881" s="4">
        <v>496</v>
      </c>
      <c r="E2881" t="str">
        <f t="shared" si="44"/>
        <v>1213-268831-44774</v>
      </c>
    </row>
    <row r="2882" spans="1:5" ht="14.25" customHeight="1">
      <c r="A2882" s="4">
        <v>1213</v>
      </c>
      <c r="B2882" s="4">
        <v>268831</v>
      </c>
      <c r="C2882" s="17">
        <v>44781</v>
      </c>
      <c r="D2882" s="4">
        <v>464</v>
      </c>
      <c r="E2882" t="str">
        <f t="shared" si="44"/>
        <v>1213-268831-44781</v>
      </c>
    </row>
    <row r="2883" spans="1:5" ht="14.25" customHeight="1">
      <c r="A2883" s="4">
        <v>1213</v>
      </c>
      <c r="B2883" s="4">
        <v>268831</v>
      </c>
      <c r="C2883" s="17">
        <v>44788</v>
      </c>
      <c r="D2883" s="4">
        <v>566</v>
      </c>
      <c r="E2883" t="str">
        <f t="shared" ref="E2883:E2946" si="45">A2883&amp;"-"&amp;B2883&amp;"-"&amp;INT(C2883)</f>
        <v>1213-268831-44788</v>
      </c>
    </row>
    <row r="2884" spans="1:5" ht="14.25" customHeight="1">
      <c r="A2884" s="4">
        <v>1213</v>
      </c>
      <c r="B2884" s="4">
        <v>273701</v>
      </c>
      <c r="C2884" s="17">
        <v>44739</v>
      </c>
      <c r="D2884" s="4">
        <v>70</v>
      </c>
      <c r="E2884" t="str">
        <f t="shared" si="45"/>
        <v>1213-273701-44739</v>
      </c>
    </row>
    <row r="2885" spans="1:5" ht="14.25" customHeight="1">
      <c r="A2885" s="4">
        <v>1213</v>
      </c>
      <c r="B2885" s="4">
        <v>273701</v>
      </c>
      <c r="C2885" s="17">
        <v>44746</v>
      </c>
      <c r="D2885" s="4">
        <v>54</v>
      </c>
      <c r="E2885" t="str">
        <f t="shared" si="45"/>
        <v>1213-273701-44746</v>
      </c>
    </row>
    <row r="2886" spans="1:5" ht="14.25" customHeight="1">
      <c r="A2886" s="4">
        <v>1213</v>
      </c>
      <c r="B2886" s="4">
        <v>273701</v>
      </c>
      <c r="C2886" s="17">
        <v>44753</v>
      </c>
      <c r="D2886" s="4">
        <v>59</v>
      </c>
      <c r="E2886" t="str">
        <f t="shared" si="45"/>
        <v>1213-273701-44753</v>
      </c>
    </row>
    <row r="2887" spans="1:5" ht="14.25" customHeight="1">
      <c r="A2887" s="4">
        <v>1213</v>
      </c>
      <c r="B2887" s="4">
        <v>273701</v>
      </c>
      <c r="C2887" s="17">
        <v>44760</v>
      </c>
      <c r="D2887" s="4">
        <v>61</v>
      </c>
      <c r="E2887" t="str">
        <f t="shared" si="45"/>
        <v>1213-273701-44760</v>
      </c>
    </row>
    <row r="2888" spans="1:5" ht="14.25" customHeight="1">
      <c r="A2888" s="4">
        <v>1213</v>
      </c>
      <c r="B2888" s="4">
        <v>273701</v>
      </c>
      <c r="C2888" s="17">
        <v>44767</v>
      </c>
      <c r="D2888" s="4">
        <v>27</v>
      </c>
      <c r="E2888" t="str">
        <f t="shared" si="45"/>
        <v>1213-273701-44767</v>
      </c>
    </row>
    <row r="2889" spans="1:5" ht="14.25" customHeight="1">
      <c r="A2889" s="4">
        <v>1213</v>
      </c>
      <c r="B2889" s="4">
        <v>273701</v>
      </c>
      <c r="C2889" s="17">
        <v>44774</v>
      </c>
      <c r="D2889" s="4">
        <v>52</v>
      </c>
      <c r="E2889" t="str">
        <f t="shared" si="45"/>
        <v>1213-273701-44774</v>
      </c>
    </row>
    <row r="2890" spans="1:5" ht="14.25" customHeight="1">
      <c r="A2890" s="4">
        <v>1213</v>
      </c>
      <c r="B2890" s="4">
        <v>273701</v>
      </c>
      <c r="C2890" s="17">
        <v>44781</v>
      </c>
      <c r="D2890" s="4">
        <v>27</v>
      </c>
      <c r="E2890" t="str">
        <f t="shared" si="45"/>
        <v>1213-273701-44781</v>
      </c>
    </row>
    <row r="2891" spans="1:5" ht="14.25" customHeight="1">
      <c r="A2891" s="4">
        <v>1213</v>
      </c>
      <c r="B2891" s="4">
        <v>273701</v>
      </c>
      <c r="C2891" s="17">
        <v>44788</v>
      </c>
      <c r="D2891" s="4">
        <v>64</v>
      </c>
      <c r="E2891" t="str">
        <f t="shared" si="45"/>
        <v>1213-273701-44788</v>
      </c>
    </row>
    <row r="2892" spans="1:5" ht="14.25" customHeight="1">
      <c r="A2892" s="4">
        <v>1213</v>
      </c>
      <c r="B2892" s="4">
        <v>291726</v>
      </c>
      <c r="C2892" s="17">
        <v>44739</v>
      </c>
      <c r="D2892" s="4">
        <v>22</v>
      </c>
      <c r="E2892" t="str">
        <f t="shared" si="45"/>
        <v>1213-291726-44739</v>
      </c>
    </row>
    <row r="2893" spans="1:5" ht="14.25" customHeight="1">
      <c r="A2893" s="4">
        <v>1213</v>
      </c>
      <c r="B2893" s="4">
        <v>291726</v>
      </c>
      <c r="C2893" s="17">
        <v>44746</v>
      </c>
      <c r="D2893" s="4">
        <v>22</v>
      </c>
      <c r="E2893" t="str">
        <f t="shared" si="45"/>
        <v>1213-291726-44746</v>
      </c>
    </row>
    <row r="2894" spans="1:5" ht="14.25" customHeight="1">
      <c r="A2894" s="4">
        <v>1213</v>
      </c>
      <c r="B2894" s="4">
        <v>291726</v>
      </c>
      <c r="C2894" s="17">
        <v>44753</v>
      </c>
      <c r="D2894" s="4">
        <v>24</v>
      </c>
      <c r="E2894" t="str">
        <f t="shared" si="45"/>
        <v>1213-291726-44753</v>
      </c>
    </row>
    <row r="2895" spans="1:5" ht="14.25" customHeight="1">
      <c r="A2895" s="4">
        <v>1213</v>
      </c>
      <c r="B2895" s="4">
        <v>291726</v>
      </c>
      <c r="C2895" s="17">
        <v>44760</v>
      </c>
      <c r="D2895" s="4">
        <v>18</v>
      </c>
      <c r="E2895" t="str">
        <f t="shared" si="45"/>
        <v>1213-291726-44760</v>
      </c>
    </row>
    <row r="2896" spans="1:5" ht="14.25" customHeight="1">
      <c r="A2896" s="4">
        <v>1213</v>
      </c>
      <c r="B2896" s="4">
        <v>291726</v>
      </c>
      <c r="C2896" s="17">
        <v>44767</v>
      </c>
      <c r="D2896" s="4">
        <v>22</v>
      </c>
      <c r="E2896" t="str">
        <f t="shared" si="45"/>
        <v>1213-291726-44767</v>
      </c>
    </row>
    <row r="2897" spans="1:5" ht="14.25" customHeight="1">
      <c r="A2897" s="4">
        <v>1213</v>
      </c>
      <c r="B2897" s="4">
        <v>291726</v>
      </c>
      <c r="C2897" s="17">
        <v>44774</v>
      </c>
      <c r="D2897" s="4">
        <v>24</v>
      </c>
      <c r="E2897" t="str">
        <f t="shared" si="45"/>
        <v>1213-291726-44774</v>
      </c>
    </row>
    <row r="2898" spans="1:5" ht="14.25" customHeight="1">
      <c r="A2898" s="4">
        <v>1213</v>
      </c>
      <c r="B2898" s="4">
        <v>291726</v>
      </c>
      <c r="C2898" s="17">
        <v>44781</v>
      </c>
      <c r="D2898" s="4">
        <v>21</v>
      </c>
      <c r="E2898" t="str">
        <f t="shared" si="45"/>
        <v>1213-291726-44781</v>
      </c>
    </row>
    <row r="2899" spans="1:5" ht="14.25" customHeight="1">
      <c r="A2899" s="4">
        <v>1213</v>
      </c>
      <c r="B2899" s="4">
        <v>291726</v>
      </c>
      <c r="C2899" s="17">
        <v>44788</v>
      </c>
      <c r="D2899" s="4">
        <v>21</v>
      </c>
      <c r="E2899" t="str">
        <f t="shared" si="45"/>
        <v>1213-291726-44788</v>
      </c>
    </row>
    <row r="2900" spans="1:5" ht="14.25" customHeight="1">
      <c r="A2900" s="4">
        <v>1213</v>
      </c>
      <c r="B2900" s="4">
        <v>291728</v>
      </c>
      <c r="C2900" s="17">
        <v>44739</v>
      </c>
      <c r="D2900" s="4">
        <v>59</v>
      </c>
      <c r="E2900" t="str">
        <f t="shared" si="45"/>
        <v>1213-291728-44739</v>
      </c>
    </row>
    <row r="2901" spans="1:5" ht="14.25" customHeight="1">
      <c r="A2901" s="4">
        <v>1213</v>
      </c>
      <c r="B2901" s="4">
        <v>291728</v>
      </c>
      <c r="C2901" s="17">
        <v>44746</v>
      </c>
      <c r="D2901" s="4">
        <v>69</v>
      </c>
      <c r="E2901" t="str">
        <f t="shared" si="45"/>
        <v>1213-291728-44746</v>
      </c>
    </row>
    <row r="2902" spans="1:5" ht="14.25" customHeight="1">
      <c r="A2902" s="4">
        <v>1213</v>
      </c>
      <c r="B2902" s="4">
        <v>291728</v>
      </c>
      <c r="C2902" s="17">
        <v>44753</v>
      </c>
      <c r="D2902" s="4">
        <v>60</v>
      </c>
      <c r="E2902" t="str">
        <f t="shared" si="45"/>
        <v>1213-291728-44753</v>
      </c>
    </row>
    <row r="2903" spans="1:5" ht="14.25" customHeight="1">
      <c r="A2903" s="4">
        <v>1213</v>
      </c>
      <c r="B2903" s="4">
        <v>291728</v>
      </c>
      <c r="C2903" s="17">
        <v>44760</v>
      </c>
      <c r="D2903" s="4">
        <v>30</v>
      </c>
      <c r="E2903" t="str">
        <f t="shared" si="45"/>
        <v>1213-291728-44760</v>
      </c>
    </row>
    <row r="2904" spans="1:5" ht="14.25" customHeight="1">
      <c r="A2904" s="4">
        <v>1213</v>
      </c>
      <c r="B2904" s="4">
        <v>291728</v>
      </c>
      <c r="C2904" s="17">
        <v>44767</v>
      </c>
      <c r="D2904" s="4">
        <v>55</v>
      </c>
      <c r="E2904" t="str">
        <f t="shared" si="45"/>
        <v>1213-291728-44767</v>
      </c>
    </row>
    <row r="2905" spans="1:5" ht="14.25" customHeight="1">
      <c r="A2905" s="4">
        <v>1213</v>
      </c>
      <c r="B2905" s="4">
        <v>291728</v>
      </c>
      <c r="C2905" s="17">
        <v>44774</v>
      </c>
      <c r="D2905" s="4">
        <v>54</v>
      </c>
      <c r="E2905" t="str">
        <f t="shared" si="45"/>
        <v>1213-291728-44774</v>
      </c>
    </row>
    <row r="2906" spans="1:5" ht="14.25" customHeight="1">
      <c r="A2906" s="4">
        <v>1213</v>
      </c>
      <c r="B2906" s="4">
        <v>291728</v>
      </c>
      <c r="C2906" s="17">
        <v>44781</v>
      </c>
      <c r="D2906" s="4">
        <v>25</v>
      </c>
      <c r="E2906" t="str">
        <f t="shared" si="45"/>
        <v>1213-291728-44781</v>
      </c>
    </row>
    <row r="2907" spans="1:5" ht="14.25" customHeight="1">
      <c r="A2907" s="4">
        <v>1213</v>
      </c>
      <c r="B2907" s="4">
        <v>291728</v>
      </c>
      <c r="C2907" s="17">
        <v>44788</v>
      </c>
      <c r="D2907" s="4">
        <v>48</v>
      </c>
      <c r="E2907" t="str">
        <f t="shared" si="45"/>
        <v>1213-291728-44788</v>
      </c>
    </row>
    <row r="2908" spans="1:5" ht="14.25" customHeight="1">
      <c r="A2908" s="4">
        <v>1213</v>
      </c>
      <c r="B2908" s="4">
        <v>300380</v>
      </c>
      <c r="C2908" s="17">
        <v>44739</v>
      </c>
      <c r="D2908" s="4">
        <v>36</v>
      </c>
      <c r="E2908" t="str">
        <f t="shared" si="45"/>
        <v>1213-300380-44739</v>
      </c>
    </row>
    <row r="2909" spans="1:5" ht="14.25" customHeight="1">
      <c r="A2909" s="4">
        <v>1213</v>
      </c>
      <c r="B2909" s="4">
        <v>300380</v>
      </c>
      <c r="C2909" s="17">
        <v>44746</v>
      </c>
      <c r="D2909" s="4">
        <v>36</v>
      </c>
      <c r="E2909" t="str">
        <f t="shared" si="45"/>
        <v>1213-300380-44746</v>
      </c>
    </row>
    <row r="2910" spans="1:5" ht="14.25" customHeight="1">
      <c r="A2910" s="4">
        <v>1213</v>
      </c>
      <c r="B2910" s="4">
        <v>300380</v>
      </c>
      <c r="C2910" s="17">
        <v>44753</v>
      </c>
      <c r="D2910" s="4">
        <v>36</v>
      </c>
      <c r="E2910" t="str">
        <f t="shared" si="45"/>
        <v>1213-300380-44753</v>
      </c>
    </row>
    <row r="2911" spans="1:5" ht="14.25" customHeight="1">
      <c r="A2911" s="4">
        <v>1213</v>
      </c>
      <c r="B2911" s="4">
        <v>300380</v>
      </c>
      <c r="C2911" s="17">
        <v>44760</v>
      </c>
      <c r="D2911" s="4">
        <v>36</v>
      </c>
      <c r="E2911" t="str">
        <f t="shared" si="45"/>
        <v>1213-300380-44760</v>
      </c>
    </row>
    <row r="2912" spans="1:5" ht="14.25" customHeight="1">
      <c r="A2912" s="4">
        <v>1213</v>
      </c>
      <c r="B2912" s="4">
        <v>300380</v>
      </c>
      <c r="C2912" s="17">
        <v>44767</v>
      </c>
      <c r="D2912" s="4">
        <v>36</v>
      </c>
      <c r="E2912" t="str">
        <f t="shared" si="45"/>
        <v>1213-300380-44767</v>
      </c>
    </row>
    <row r="2913" spans="1:5" ht="14.25" customHeight="1">
      <c r="A2913" s="4">
        <v>1213</v>
      </c>
      <c r="B2913" s="4">
        <v>300380</v>
      </c>
      <c r="C2913" s="17">
        <v>44774</v>
      </c>
      <c r="D2913" s="4">
        <v>36</v>
      </c>
      <c r="E2913" t="str">
        <f t="shared" si="45"/>
        <v>1213-300380-44774</v>
      </c>
    </row>
    <row r="2914" spans="1:5" ht="14.25" customHeight="1">
      <c r="A2914" s="4">
        <v>1213</v>
      </c>
      <c r="B2914" s="4">
        <v>300380</v>
      </c>
      <c r="C2914" s="17">
        <v>44781</v>
      </c>
      <c r="D2914" s="4">
        <v>36</v>
      </c>
      <c r="E2914" t="str">
        <f t="shared" si="45"/>
        <v>1213-300380-44781</v>
      </c>
    </row>
    <row r="2915" spans="1:5" ht="14.25" customHeight="1">
      <c r="A2915" s="4">
        <v>1213</v>
      </c>
      <c r="B2915" s="4">
        <v>300380</v>
      </c>
      <c r="C2915" s="17">
        <v>44788</v>
      </c>
      <c r="D2915" s="4">
        <v>36</v>
      </c>
      <c r="E2915" t="str">
        <f t="shared" si="45"/>
        <v>1213-300380-44788</v>
      </c>
    </row>
    <row r="2916" spans="1:5" ht="14.25" customHeight="1">
      <c r="A2916" s="4">
        <v>1213</v>
      </c>
      <c r="B2916" s="4">
        <v>571521</v>
      </c>
      <c r="C2916" s="17">
        <v>44739</v>
      </c>
      <c r="D2916" s="4">
        <v>522</v>
      </c>
      <c r="E2916" t="str">
        <f t="shared" si="45"/>
        <v>1213-571521-44739</v>
      </c>
    </row>
    <row r="2917" spans="1:5" ht="14.25" customHeight="1">
      <c r="A2917" s="4">
        <v>1213</v>
      </c>
      <c r="B2917" s="4">
        <v>571521</v>
      </c>
      <c r="C2917" s="17">
        <v>44746</v>
      </c>
      <c r="D2917" s="4">
        <v>695</v>
      </c>
      <c r="E2917" t="str">
        <f t="shared" si="45"/>
        <v>1213-571521-44746</v>
      </c>
    </row>
    <row r="2918" spans="1:5" ht="14.25" customHeight="1">
      <c r="A2918" s="4">
        <v>1213</v>
      </c>
      <c r="B2918" s="4">
        <v>571521</v>
      </c>
      <c r="C2918" s="17">
        <v>44753</v>
      </c>
      <c r="D2918" s="4">
        <v>476</v>
      </c>
      <c r="E2918" t="str">
        <f t="shared" si="45"/>
        <v>1213-571521-44753</v>
      </c>
    </row>
    <row r="2919" spans="1:5" ht="14.25" customHeight="1">
      <c r="A2919" s="4">
        <v>1213</v>
      </c>
      <c r="B2919" s="4">
        <v>571521</v>
      </c>
      <c r="C2919" s="17">
        <v>44760</v>
      </c>
      <c r="D2919" s="4">
        <v>131</v>
      </c>
      <c r="E2919" t="str">
        <f t="shared" si="45"/>
        <v>1213-571521-44760</v>
      </c>
    </row>
    <row r="2920" spans="1:5" ht="14.25" customHeight="1">
      <c r="A2920" s="4">
        <v>1213</v>
      </c>
      <c r="B2920" s="4">
        <v>571521</v>
      </c>
      <c r="C2920" s="17">
        <v>44767</v>
      </c>
      <c r="D2920" s="4">
        <v>131</v>
      </c>
      <c r="E2920" t="str">
        <f t="shared" si="45"/>
        <v>1213-571521-44767</v>
      </c>
    </row>
    <row r="2921" spans="1:5" ht="14.25" customHeight="1">
      <c r="A2921" s="4">
        <v>1213</v>
      </c>
      <c r="B2921" s="4">
        <v>571521</v>
      </c>
      <c r="C2921" s="17">
        <v>44774</v>
      </c>
      <c r="D2921" s="4">
        <v>687</v>
      </c>
      <c r="E2921" t="str">
        <f t="shared" si="45"/>
        <v>1213-571521-44774</v>
      </c>
    </row>
    <row r="2922" spans="1:5" ht="14.25" customHeight="1">
      <c r="A2922" s="4">
        <v>1213</v>
      </c>
      <c r="B2922" s="4">
        <v>571521</v>
      </c>
      <c r="C2922" s="17">
        <v>44781</v>
      </c>
      <c r="D2922" s="4">
        <v>510</v>
      </c>
      <c r="E2922" t="str">
        <f t="shared" si="45"/>
        <v>1213-571521-44781</v>
      </c>
    </row>
    <row r="2923" spans="1:5" ht="14.25" customHeight="1">
      <c r="A2923" s="4">
        <v>1213</v>
      </c>
      <c r="B2923" s="4">
        <v>571521</v>
      </c>
      <c r="C2923" s="17">
        <v>44788</v>
      </c>
      <c r="D2923" s="4">
        <v>683</v>
      </c>
      <c r="E2923" t="str">
        <f t="shared" si="45"/>
        <v>1213-571521-44788</v>
      </c>
    </row>
    <row r="2924" spans="1:5" ht="14.25" customHeight="1">
      <c r="A2924" s="4">
        <v>1213</v>
      </c>
      <c r="B2924" s="4">
        <v>614993</v>
      </c>
      <c r="C2924" s="17">
        <v>44739</v>
      </c>
      <c r="D2924" s="4">
        <v>91</v>
      </c>
      <c r="E2924" t="str">
        <f t="shared" si="45"/>
        <v>1213-614993-44739</v>
      </c>
    </row>
    <row r="2925" spans="1:5" ht="14.25" customHeight="1">
      <c r="A2925" s="4">
        <v>1213</v>
      </c>
      <c r="B2925" s="4">
        <v>614993</v>
      </c>
      <c r="C2925" s="17">
        <v>44746</v>
      </c>
      <c r="D2925" s="4">
        <v>46</v>
      </c>
      <c r="E2925" t="str">
        <f t="shared" si="45"/>
        <v>1213-614993-44746</v>
      </c>
    </row>
    <row r="2926" spans="1:5" ht="14.25" customHeight="1">
      <c r="A2926" s="4">
        <v>1213</v>
      </c>
      <c r="B2926" s="4">
        <v>614993</v>
      </c>
      <c r="C2926" s="17">
        <v>44753</v>
      </c>
      <c r="D2926" s="4">
        <v>36</v>
      </c>
      <c r="E2926" t="str">
        <f t="shared" si="45"/>
        <v>1213-614993-44753</v>
      </c>
    </row>
    <row r="2927" spans="1:5" ht="14.25" customHeight="1">
      <c r="A2927" s="4">
        <v>1213</v>
      </c>
      <c r="B2927" s="4">
        <v>614993</v>
      </c>
      <c r="C2927" s="17">
        <v>44760</v>
      </c>
      <c r="D2927" s="4">
        <v>108</v>
      </c>
      <c r="E2927" t="str">
        <f t="shared" si="45"/>
        <v>1213-614993-44760</v>
      </c>
    </row>
    <row r="2928" spans="1:5" ht="14.25" customHeight="1">
      <c r="A2928" s="4">
        <v>1213</v>
      </c>
      <c r="B2928" s="4">
        <v>614993</v>
      </c>
      <c r="C2928" s="17">
        <v>44767</v>
      </c>
      <c r="D2928" s="4">
        <v>76</v>
      </c>
      <c r="E2928" t="str">
        <f t="shared" si="45"/>
        <v>1213-614993-44767</v>
      </c>
    </row>
    <row r="2929" spans="1:5" ht="14.25" customHeight="1">
      <c r="A2929" s="4">
        <v>1213</v>
      </c>
      <c r="B2929" s="4">
        <v>614993</v>
      </c>
      <c r="C2929" s="17">
        <v>44774</v>
      </c>
      <c r="D2929" s="4">
        <v>119</v>
      </c>
      <c r="E2929" t="str">
        <f t="shared" si="45"/>
        <v>1213-614993-44774</v>
      </c>
    </row>
    <row r="2930" spans="1:5" ht="14.25" customHeight="1">
      <c r="A2930" s="4">
        <v>1213</v>
      </c>
      <c r="B2930" s="4">
        <v>614993</v>
      </c>
      <c r="C2930" s="17">
        <v>44781</v>
      </c>
      <c r="D2930" s="4">
        <v>102</v>
      </c>
      <c r="E2930" t="str">
        <f t="shared" si="45"/>
        <v>1213-614993-44781</v>
      </c>
    </row>
    <row r="2931" spans="1:5" ht="14.25" customHeight="1">
      <c r="A2931" s="4">
        <v>1213</v>
      </c>
      <c r="B2931" s="4">
        <v>614993</v>
      </c>
      <c r="C2931" s="17">
        <v>44788</v>
      </c>
      <c r="D2931" s="4">
        <v>62</v>
      </c>
      <c r="E2931" t="str">
        <f t="shared" si="45"/>
        <v>1213-614993-44788</v>
      </c>
    </row>
    <row r="2932" spans="1:5" ht="14.25" customHeight="1">
      <c r="A2932" s="4">
        <v>1214</v>
      </c>
      <c r="B2932" s="4">
        <v>23393</v>
      </c>
      <c r="C2932" s="17">
        <v>32874</v>
      </c>
      <c r="D2932" s="4">
        <v>146</v>
      </c>
      <c r="E2932" t="str">
        <f t="shared" si="45"/>
        <v>1214-23393-32874</v>
      </c>
    </row>
    <row r="2933" spans="1:5" ht="14.25" customHeight="1">
      <c r="A2933" s="4">
        <v>1214</v>
      </c>
      <c r="B2933" s="4">
        <v>23393</v>
      </c>
      <c r="C2933" s="17">
        <v>44739</v>
      </c>
      <c r="D2933" s="4">
        <v>312</v>
      </c>
      <c r="E2933" t="str">
        <f t="shared" si="45"/>
        <v>1214-23393-44739</v>
      </c>
    </row>
    <row r="2934" spans="1:5" ht="14.25" customHeight="1">
      <c r="A2934" s="4">
        <v>1214</v>
      </c>
      <c r="B2934" s="4">
        <v>23393</v>
      </c>
      <c r="C2934" s="17">
        <v>44746</v>
      </c>
      <c r="D2934" s="4">
        <v>258</v>
      </c>
      <c r="E2934" t="str">
        <f t="shared" si="45"/>
        <v>1214-23393-44746</v>
      </c>
    </row>
    <row r="2935" spans="1:5" ht="14.25" customHeight="1">
      <c r="A2935" s="4">
        <v>1214</v>
      </c>
      <c r="B2935" s="4">
        <v>23393</v>
      </c>
      <c r="C2935" s="17">
        <v>44753</v>
      </c>
      <c r="D2935" s="4">
        <v>256</v>
      </c>
      <c r="E2935" t="str">
        <f t="shared" si="45"/>
        <v>1214-23393-44753</v>
      </c>
    </row>
    <row r="2936" spans="1:5" ht="14.25" customHeight="1">
      <c r="A2936" s="4">
        <v>1214</v>
      </c>
      <c r="B2936" s="4">
        <v>23393</v>
      </c>
      <c r="C2936" s="17">
        <v>44760</v>
      </c>
      <c r="D2936" s="4">
        <v>266</v>
      </c>
      <c r="E2936" t="str">
        <f t="shared" si="45"/>
        <v>1214-23393-44760</v>
      </c>
    </row>
    <row r="2937" spans="1:5" ht="14.25" customHeight="1">
      <c r="A2937" s="4">
        <v>1214</v>
      </c>
      <c r="B2937" s="4">
        <v>23393</v>
      </c>
      <c r="C2937" s="17">
        <v>44767</v>
      </c>
      <c r="D2937" s="4">
        <v>146</v>
      </c>
      <c r="E2937" t="str">
        <f t="shared" si="45"/>
        <v>1214-23393-44767</v>
      </c>
    </row>
    <row r="2938" spans="1:5" ht="14.25" customHeight="1">
      <c r="A2938" s="4">
        <v>1214</v>
      </c>
      <c r="B2938" s="4">
        <v>23393</v>
      </c>
      <c r="C2938" s="17">
        <v>44774</v>
      </c>
      <c r="D2938" s="4">
        <v>282</v>
      </c>
      <c r="E2938" t="str">
        <f t="shared" si="45"/>
        <v>1214-23393-44774</v>
      </c>
    </row>
    <row r="2939" spans="1:5" ht="14.25" customHeight="1">
      <c r="A2939" s="4">
        <v>1214</v>
      </c>
      <c r="B2939" s="4">
        <v>23393</v>
      </c>
      <c r="C2939" s="17">
        <v>44781</v>
      </c>
      <c r="D2939" s="4">
        <v>306</v>
      </c>
      <c r="E2939" t="str">
        <f t="shared" si="45"/>
        <v>1214-23393-44781</v>
      </c>
    </row>
    <row r="2940" spans="1:5" ht="14.25" customHeight="1">
      <c r="A2940" s="4">
        <v>1214</v>
      </c>
      <c r="B2940" s="4">
        <v>23393</v>
      </c>
      <c r="C2940" s="17">
        <v>44788</v>
      </c>
      <c r="D2940" s="4">
        <v>190</v>
      </c>
      <c r="E2940" t="str">
        <f t="shared" si="45"/>
        <v>1214-23393-44788</v>
      </c>
    </row>
    <row r="2941" spans="1:5" ht="14.25" customHeight="1">
      <c r="A2941" s="4">
        <v>1214</v>
      </c>
      <c r="B2941" s="4">
        <v>26764</v>
      </c>
      <c r="C2941" s="17">
        <v>44739</v>
      </c>
      <c r="D2941" s="4">
        <v>96</v>
      </c>
      <c r="E2941" t="str">
        <f t="shared" si="45"/>
        <v>1214-26764-44739</v>
      </c>
    </row>
    <row r="2942" spans="1:5" ht="14.25" customHeight="1">
      <c r="A2942" s="4">
        <v>1214</v>
      </c>
      <c r="B2942" s="4">
        <v>26764</v>
      </c>
      <c r="C2942" s="17">
        <v>44746</v>
      </c>
      <c r="D2942" s="4">
        <v>126</v>
      </c>
      <c r="E2942" t="str">
        <f t="shared" si="45"/>
        <v>1214-26764-44746</v>
      </c>
    </row>
    <row r="2943" spans="1:5" ht="14.25" customHeight="1">
      <c r="A2943" s="4">
        <v>1214</v>
      </c>
      <c r="B2943" s="4">
        <v>26764</v>
      </c>
      <c r="C2943" s="17">
        <v>44753</v>
      </c>
      <c r="D2943" s="4">
        <v>94</v>
      </c>
      <c r="E2943" t="str">
        <f t="shared" si="45"/>
        <v>1214-26764-44753</v>
      </c>
    </row>
    <row r="2944" spans="1:5" ht="14.25" customHeight="1">
      <c r="A2944" s="4">
        <v>1214</v>
      </c>
      <c r="B2944" s="4">
        <v>26764</v>
      </c>
      <c r="C2944" s="17">
        <v>44760</v>
      </c>
      <c r="D2944" s="4">
        <v>45</v>
      </c>
      <c r="E2944" t="str">
        <f t="shared" si="45"/>
        <v>1214-26764-44760</v>
      </c>
    </row>
    <row r="2945" spans="1:5" ht="14.25" customHeight="1">
      <c r="A2945" s="4">
        <v>1214</v>
      </c>
      <c r="B2945" s="4">
        <v>26764</v>
      </c>
      <c r="C2945" s="17">
        <v>44767</v>
      </c>
      <c r="D2945" s="4">
        <v>105</v>
      </c>
      <c r="E2945" t="str">
        <f t="shared" si="45"/>
        <v>1214-26764-44767</v>
      </c>
    </row>
    <row r="2946" spans="1:5" ht="14.25" customHeight="1">
      <c r="A2946" s="4">
        <v>1214</v>
      </c>
      <c r="B2946" s="4">
        <v>26764</v>
      </c>
      <c r="C2946" s="17">
        <v>44774</v>
      </c>
      <c r="D2946" s="4">
        <v>118</v>
      </c>
      <c r="E2946" t="str">
        <f t="shared" si="45"/>
        <v>1214-26764-44774</v>
      </c>
    </row>
    <row r="2947" spans="1:5" ht="14.25" customHeight="1">
      <c r="A2947" s="4">
        <v>1214</v>
      </c>
      <c r="B2947" s="4">
        <v>26764</v>
      </c>
      <c r="C2947" s="17">
        <v>44781</v>
      </c>
      <c r="D2947" s="4">
        <v>133</v>
      </c>
      <c r="E2947" t="str">
        <f t="shared" ref="E2947:E3010" si="46">A2947&amp;"-"&amp;B2947&amp;"-"&amp;INT(C2947)</f>
        <v>1214-26764-44781</v>
      </c>
    </row>
    <row r="2948" spans="1:5" ht="14.25" customHeight="1">
      <c r="A2948" s="4">
        <v>1214</v>
      </c>
      <c r="B2948" s="4">
        <v>26764</v>
      </c>
      <c r="C2948" s="17">
        <v>44788</v>
      </c>
      <c r="D2948" s="4">
        <v>36</v>
      </c>
      <c r="E2948" t="str">
        <f t="shared" si="46"/>
        <v>1214-26764-44788</v>
      </c>
    </row>
    <row r="2949" spans="1:5" ht="14.25" customHeight="1">
      <c r="A2949" s="4">
        <v>1214</v>
      </c>
      <c r="B2949" s="4">
        <v>53934</v>
      </c>
      <c r="C2949" s="17">
        <v>44739</v>
      </c>
      <c r="D2949" s="4">
        <v>210</v>
      </c>
      <c r="E2949" t="str">
        <f t="shared" si="46"/>
        <v>1214-53934-44739</v>
      </c>
    </row>
    <row r="2950" spans="1:5" ht="14.25" customHeight="1">
      <c r="A2950" s="4">
        <v>1214</v>
      </c>
      <c r="B2950" s="4">
        <v>53934</v>
      </c>
      <c r="C2950" s="17">
        <v>44746</v>
      </c>
      <c r="D2950" s="4">
        <v>334</v>
      </c>
      <c r="E2950" t="str">
        <f t="shared" si="46"/>
        <v>1214-53934-44746</v>
      </c>
    </row>
    <row r="2951" spans="1:5" ht="14.25" customHeight="1">
      <c r="A2951" s="4">
        <v>1214</v>
      </c>
      <c r="B2951" s="4">
        <v>53934</v>
      </c>
      <c r="C2951" s="17">
        <v>44753</v>
      </c>
      <c r="D2951" s="4">
        <v>224</v>
      </c>
      <c r="E2951" t="str">
        <f t="shared" si="46"/>
        <v>1214-53934-44753</v>
      </c>
    </row>
    <row r="2952" spans="1:5" ht="14.25" customHeight="1">
      <c r="A2952" s="4">
        <v>1214</v>
      </c>
      <c r="B2952" s="4">
        <v>53934</v>
      </c>
      <c r="C2952" s="17">
        <v>44760</v>
      </c>
      <c r="D2952" s="4">
        <v>224</v>
      </c>
      <c r="E2952" t="str">
        <f t="shared" si="46"/>
        <v>1214-53934-44760</v>
      </c>
    </row>
    <row r="2953" spans="1:5" ht="14.25" customHeight="1">
      <c r="A2953" s="4">
        <v>1214</v>
      </c>
      <c r="B2953" s="4">
        <v>53934</v>
      </c>
      <c r="C2953" s="17">
        <v>44767</v>
      </c>
      <c r="D2953" s="4">
        <v>320</v>
      </c>
      <c r="E2953" t="str">
        <f t="shared" si="46"/>
        <v>1214-53934-44767</v>
      </c>
    </row>
    <row r="2954" spans="1:5" ht="14.25" customHeight="1">
      <c r="A2954" s="4">
        <v>1214</v>
      </c>
      <c r="B2954" s="4">
        <v>53934</v>
      </c>
      <c r="C2954" s="17">
        <v>44774</v>
      </c>
      <c r="D2954" s="4">
        <v>167</v>
      </c>
      <c r="E2954" t="str">
        <f t="shared" si="46"/>
        <v>1214-53934-44774</v>
      </c>
    </row>
    <row r="2955" spans="1:5" ht="14.25" customHeight="1">
      <c r="A2955" s="4">
        <v>1214</v>
      </c>
      <c r="B2955" s="4">
        <v>53934</v>
      </c>
      <c r="C2955" s="17">
        <v>44781</v>
      </c>
      <c r="D2955" s="4">
        <v>317</v>
      </c>
      <c r="E2955" t="str">
        <f t="shared" si="46"/>
        <v>1214-53934-44781</v>
      </c>
    </row>
    <row r="2956" spans="1:5" ht="14.25" customHeight="1">
      <c r="A2956" s="4">
        <v>1214</v>
      </c>
      <c r="B2956" s="4">
        <v>53934</v>
      </c>
      <c r="C2956" s="17">
        <v>44788</v>
      </c>
      <c r="D2956" s="4">
        <v>174</v>
      </c>
      <c r="E2956" t="str">
        <f t="shared" si="46"/>
        <v>1214-53934-44788</v>
      </c>
    </row>
    <row r="2957" spans="1:5" ht="14.25" customHeight="1">
      <c r="A2957" s="4">
        <v>1214</v>
      </c>
      <c r="B2957" s="4">
        <v>78699</v>
      </c>
      <c r="C2957" s="17">
        <v>44739</v>
      </c>
      <c r="D2957" s="4">
        <v>3</v>
      </c>
      <c r="E2957" t="str">
        <f t="shared" si="46"/>
        <v>1214-78699-44739</v>
      </c>
    </row>
    <row r="2958" spans="1:5" ht="14.25" customHeight="1">
      <c r="A2958" s="4">
        <v>1214</v>
      </c>
      <c r="B2958" s="4">
        <v>78699</v>
      </c>
      <c r="C2958" s="17">
        <v>44746</v>
      </c>
      <c r="D2958" s="4">
        <v>3</v>
      </c>
      <c r="E2958" t="str">
        <f t="shared" si="46"/>
        <v>1214-78699-44746</v>
      </c>
    </row>
    <row r="2959" spans="1:5" ht="14.25" customHeight="1">
      <c r="A2959" s="4">
        <v>1214</v>
      </c>
      <c r="B2959" s="4">
        <v>78699</v>
      </c>
      <c r="C2959" s="17">
        <v>44753</v>
      </c>
      <c r="D2959" s="4">
        <v>3</v>
      </c>
      <c r="E2959" t="str">
        <f t="shared" si="46"/>
        <v>1214-78699-44753</v>
      </c>
    </row>
    <row r="2960" spans="1:5" ht="14.25" customHeight="1">
      <c r="A2960" s="4">
        <v>1214</v>
      </c>
      <c r="B2960" s="4">
        <v>78699</v>
      </c>
      <c r="C2960" s="17">
        <v>44760</v>
      </c>
      <c r="D2960" s="4">
        <v>3</v>
      </c>
      <c r="E2960" t="str">
        <f t="shared" si="46"/>
        <v>1214-78699-44760</v>
      </c>
    </row>
    <row r="2961" spans="1:5" ht="14.25" customHeight="1">
      <c r="A2961" s="4">
        <v>1214</v>
      </c>
      <c r="B2961" s="4">
        <v>78699</v>
      </c>
      <c r="C2961" s="17">
        <v>44767</v>
      </c>
      <c r="D2961" s="4">
        <v>3</v>
      </c>
      <c r="E2961" t="str">
        <f t="shared" si="46"/>
        <v>1214-78699-44767</v>
      </c>
    </row>
    <row r="2962" spans="1:5" ht="14.25" customHeight="1">
      <c r="A2962" s="4">
        <v>1214</v>
      </c>
      <c r="B2962" s="4">
        <v>78699</v>
      </c>
      <c r="C2962" s="17">
        <v>44774</v>
      </c>
      <c r="D2962" s="4">
        <v>3</v>
      </c>
      <c r="E2962" t="str">
        <f t="shared" si="46"/>
        <v>1214-78699-44774</v>
      </c>
    </row>
    <row r="2963" spans="1:5" ht="14.25" customHeight="1">
      <c r="A2963" s="4">
        <v>1214</v>
      </c>
      <c r="B2963" s="4">
        <v>78699</v>
      </c>
      <c r="C2963" s="17">
        <v>44781</v>
      </c>
      <c r="D2963" s="4">
        <v>3</v>
      </c>
      <c r="E2963" t="str">
        <f t="shared" si="46"/>
        <v>1214-78699-44781</v>
      </c>
    </row>
    <row r="2964" spans="1:5" ht="14.25" customHeight="1">
      <c r="A2964" s="4">
        <v>1214</v>
      </c>
      <c r="B2964" s="4">
        <v>78699</v>
      </c>
      <c r="C2964" s="17">
        <v>44788</v>
      </c>
      <c r="D2964" s="4">
        <v>3</v>
      </c>
      <c r="E2964" t="str">
        <f t="shared" si="46"/>
        <v>1214-78699-44788</v>
      </c>
    </row>
    <row r="2965" spans="1:5" ht="14.25" customHeight="1">
      <c r="A2965" s="4">
        <v>1214</v>
      </c>
      <c r="B2965" s="4">
        <v>78869</v>
      </c>
      <c r="C2965" s="17">
        <v>44739</v>
      </c>
      <c r="D2965" s="4">
        <v>6</v>
      </c>
      <c r="E2965" t="str">
        <f t="shared" si="46"/>
        <v>1214-78869-44739</v>
      </c>
    </row>
    <row r="2966" spans="1:5" ht="14.25" customHeight="1">
      <c r="A2966" s="4">
        <v>1214</v>
      </c>
      <c r="B2966" s="4">
        <v>78869</v>
      </c>
      <c r="C2966" s="17">
        <v>44746</v>
      </c>
      <c r="D2966" s="4">
        <v>6</v>
      </c>
      <c r="E2966" t="str">
        <f t="shared" si="46"/>
        <v>1214-78869-44746</v>
      </c>
    </row>
    <row r="2967" spans="1:5" ht="14.25" customHeight="1">
      <c r="A2967" s="4">
        <v>1214</v>
      </c>
      <c r="B2967" s="4">
        <v>78869</v>
      </c>
      <c r="C2967" s="17">
        <v>44753</v>
      </c>
      <c r="D2967" s="4">
        <v>6</v>
      </c>
      <c r="E2967" t="str">
        <f t="shared" si="46"/>
        <v>1214-78869-44753</v>
      </c>
    </row>
    <row r="2968" spans="1:5" ht="14.25" customHeight="1">
      <c r="A2968" s="4">
        <v>1214</v>
      </c>
      <c r="B2968" s="4">
        <v>78869</v>
      </c>
      <c r="C2968" s="17">
        <v>44760</v>
      </c>
      <c r="D2968" s="4">
        <v>6</v>
      </c>
      <c r="E2968" t="str">
        <f t="shared" si="46"/>
        <v>1214-78869-44760</v>
      </c>
    </row>
    <row r="2969" spans="1:5" ht="14.25" customHeight="1">
      <c r="A2969" s="4">
        <v>1214</v>
      </c>
      <c r="B2969" s="4">
        <v>78869</v>
      </c>
      <c r="C2969" s="17">
        <v>44767</v>
      </c>
      <c r="D2969" s="4">
        <v>6</v>
      </c>
      <c r="E2969" t="str">
        <f t="shared" si="46"/>
        <v>1214-78869-44767</v>
      </c>
    </row>
    <row r="2970" spans="1:5" ht="14.25" customHeight="1">
      <c r="A2970" s="4">
        <v>1214</v>
      </c>
      <c r="B2970" s="4">
        <v>78869</v>
      </c>
      <c r="C2970" s="17">
        <v>44774</v>
      </c>
      <c r="D2970" s="4">
        <v>6</v>
      </c>
      <c r="E2970" t="str">
        <f t="shared" si="46"/>
        <v>1214-78869-44774</v>
      </c>
    </row>
    <row r="2971" spans="1:5" ht="14.25" customHeight="1">
      <c r="A2971" s="4">
        <v>1214</v>
      </c>
      <c r="B2971" s="4">
        <v>78869</v>
      </c>
      <c r="C2971" s="17">
        <v>44781</v>
      </c>
      <c r="D2971" s="4">
        <v>6</v>
      </c>
      <c r="E2971" t="str">
        <f t="shared" si="46"/>
        <v>1214-78869-44781</v>
      </c>
    </row>
    <row r="2972" spans="1:5" ht="14.25" customHeight="1">
      <c r="A2972" s="4">
        <v>1214</v>
      </c>
      <c r="B2972" s="4">
        <v>78869</v>
      </c>
      <c r="C2972" s="17">
        <v>44788</v>
      </c>
      <c r="D2972" s="4">
        <v>6</v>
      </c>
      <c r="E2972" t="str">
        <f t="shared" si="46"/>
        <v>1214-78869-44788</v>
      </c>
    </row>
    <row r="2973" spans="1:5" ht="14.25" customHeight="1">
      <c r="A2973" s="4">
        <v>1214</v>
      </c>
      <c r="B2973" s="4">
        <v>115600</v>
      </c>
      <c r="C2973" s="17">
        <v>32874</v>
      </c>
      <c r="D2973" s="4">
        <v>41</v>
      </c>
      <c r="E2973" t="str">
        <f t="shared" si="46"/>
        <v>1214-115600-32874</v>
      </c>
    </row>
    <row r="2974" spans="1:5" ht="14.25" customHeight="1">
      <c r="A2974" s="4">
        <v>1214</v>
      </c>
      <c r="B2974" s="4">
        <v>115600</v>
      </c>
      <c r="C2974" s="17">
        <v>44739</v>
      </c>
      <c r="D2974" s="4">
        <v>54</v>
      </c>
      <c r="E2974" t="str">
        <f t="shared" si="46"/>
        <v>1214-115600-44739</v>
      </c>
    </row>
    <row r="2975" spans="1:5" ht="14.25" customHeight="1">
      <c r="A2975" s="4">
        <v>1214</v>
      </c>
      <c r="B2975" s="4">
        <v>115600</v>
      </c>
      <c r="C2975" s="17">
        <v>44746</v>
      </c>
      <c r="D2975" s="4">
        <v>54</v>
      </c>
      <c r="E2975" t="str">
        <f t="shared" si="46"/>
        <v>1214-115600-44746</v>
      </c>
    </row>
    <row r="2976" spans="1:5" ht="14.25" customHeight="1">
      <c r="A2976" s="4">
        <v>1214</v>
      </c>
      <c r="B2976" s="4">
        <v>115600</v>
      </c>
      <c r="C2976" s="17">
        <v>44753</v>
      </c>
      <c r="D2976" s="4">
        <v>54</v>
      </c>
      <c r="E2976" t="str">
        <f t="shared" si="46"/>
        <v>1214-115600-44753</v>
      </c>
    </row>
    <row r="2977" spans="1:5" ht="14.25" customHeight="1">
      <c r="A2977" s="4">
        <v>1214</v>
      </c>
      <c r="B2977" s="4">
        <v>115600</v>
      </c>
      <c r="C2977" s="17">
        <v>44760</v>
      </c>
      <c r="D2977" s="4">
        <v>54</v>
      </c>
      <c r="E2977" t="str">
        <f t="shared" si="46"/>
        <v>1214-115600-44760</v>
      </c>
    </row>
    <row r="2978" spans="1:5" ht="14.25" customHeight="1">
      <c r="A2978" s="4">
        <v>1214</v>
      </c>
      <c r="B2978" s="4">
        <v>115600</v>
      </c>
      <c r="C2978" s="17">
        <v>44767</v>
      </c>
      <c r="D2978" s="4">
        <v>54</v>
      </c>
      <c r="E2978" t="str">
        <f t="shared" si="46"/>
        <v>1214-115600-44767</v>
      </c>
    </row>
    <row r="2979" spans="1:5" ht="14.25" customHeight="1">
      <c r="A2979" s="4">
        <v>1214</v>
      </c>
      <c r="B2979" s="4">
        <v>115600</v>
      </c>
      <c r="C2979" s="17">
        <v>44774</v>
      </c>
      <c r="D2979" s="4">
        <v>54</v>
      </c>
      <c r="E2979" t="str">
        <f t="shared" si="46"/>
        <v>1214-115600-44774</v>
      </c>
    </row>
    <row r="2980" spans="1:5" ht="14.25" customHeight="1">
      <c r="A2980" s="4">
        <v>1214</v>
      </c>
      <c r="B2980" s="4">
        <v>115600</v>
      </c>
      <c r="C2980" s="17">
        <v>44781</v>
      </c>
      <c r="D2980" s="4">
        <v>54</v>
      </c>
      <c r="E2980" t="str">
        <f t="shared" si="46"/>
        <v>1214-115600-44781</v>
      </c>
    </row>
    <row r="2981" spans="1:5" ht="14.25" customHeight="1">
      <c r="A2981" s="4">
        <v>1214</v>
      </c>
      <c r="B2981" s="4">
        <v>115600</v>
      </c>
      <c r="C2981" s="17">
        <v>44788</v>
      </c>
      <c r="D2981" s="4">
        <v>54</v>
      </c>
      <c r="E2981" t="str">
        <f t="shared" si="46"/>
        <v>1214-115600-44788</v>
      </c>
    </row>
    <row r="2982" spans="1:5" ht="14.25" customHeight="1">
      <c r="A2982" s="4">
        <v>1214</v>
      </c>
      <c r="B2982" s="4">
        <v>129208</v>
      </c>
      <c r="C2982" s="17">
        <v>32874</v>
      </c>
      <c r="D2982" s="4">
        <v>25</v>
      </c>
      <c r="E2982" t="str">
        <f t="shared" si="46"/>
        <v>1214-129208-32874</v>
      </c>
    </row>
    <row r="2983" spans="1:5" ht="14.25" customHeight="1">
      <c r="A2983" s="4">
        <v>1214</v>
      </c>
      <c r="B2983" s="4">
        <v>129208</v>
      </c>
      <c r="C2983" s="17">
        <v>44739</v>
      </c>
      <c r="D2983" s="4">
        <v>38</v>
      </c>
      <c r="E2983" t="str">
        <f t="shared" si="46"/>
        <v>1214-129208-44739</v>
      </c>
    </row>
    <row r="2984" spans="1:5" ht="14.25" customHeight="1">
      <c r="A2984" s="4">
        <v>1214</v>
      </c>
      <c r="B2984" s="4">
        <v>129208</v>
      </c>
      <c r="C2984" s="17">
        <v>44746</v>
      </c>
      <c r="D2984" s="4">
        <v>42</v>
      </c>
      <c r="E2984" t="str">
        <f t="shared" si="46"/>
        <v>1214-129208-44746</v>
      </c>
    </row>
    <row r="2985" spans="1:5" ht="14.25" customHeight="1">
      <c r="A2985" s="4">
        <v>1214</v>
      </c>
      <c r="B2985" s="4">
        <v>129208</v>
      </c>
      <c r="C2985" s="17">
        <v>44753</v>
      </c>
      <c r="D2985" s="4">
        <v>33</v>
      </c>
      <c r="E2985" t="str">
        <f t="shared" si="46"/>
        <v>1214-129208-44753</v>
      </c>
    </row>
    <row r="2986" spans="1:5" ht="14.25" customHeight="1">
      <c r="A2986" s="4">
        <v>1214</v>
      </c>
      <c r="B2986" s="4">
        <v>129208</v>
      </c>
      <c r="C2986" s="17">
        <v>44760</v>
      </c>
      <c r="D2986" s="4">
        <v>24</v>
      </c>
      <c r="E2986" t="str">
        <f t="shared" si="46"/>
        <v>1214-129208-44760</v>
      </c>
    </row>
    <row r="2987" spans="1:5" ht="14.25" customHeight="1">
      <c r="A2987" s="4">
        <v>1214</v>
      </c>
      <c r="B2987" s="4">
        <v>129208</v>
      </c>
      <c r="C2987" s="17">
        <v>44767</v>
      </c>
      <c r="D2987" s="4">
        <v>40</v>
      </c>
      <c r="E2987" t="str">
        <f t="shared" si="46"/>
        <v>1214-129208-44767</v>
      </c>
    </row>
    <row r="2988" spans="1:5" ht="14.25" customHeight="1">
      <c r="A2988" s="4">
        <v>1214</v>
      </c>
      <c r="B2988" s="4">
        <v>129208</v>
      </c>
      <c r="C2988" s="17">
        <v>44774</v>
      </c>
      <c r="D2988" s="4">
        <v>34</v>
      </c>
      <c r="E2988" t="str">
        <f t="shared" si="46"/>
        <v>1214-129208-44774</v>
      </c>
    </row>
    <row r="2989" spans="1:5" ht="14.25" customHeight="1">
      <c r="A2989" s="4">
        <v>1214</v>
      </c>
      <c r="B2989" s="4">
        <v>129208</v>
      </c>
      <c r="C2989" s="17">
        <v>44781</v>
      </c>
      <c r="D2989" s="4">
        <v>38</v>
      </c>
      <c r="E2989" t="str">
        <f t="shared" si="46"/>
        <v>1214-129208-44781</v>
      </c>
    </row>
    <row r="2990" spans="1:5" ht="14.25" customHeight="1">
      <c r="A2990" s="4">
        <v>1214</v>
      </c>
      <c r="B2990" s="4">
        <v>129208</v>
      </c>
      <c r="C2990" s="17">
        <v>44788</v>
      </c>
      <c r="D2990" s="4">
        <v>36</v>
      </c>
      <c r="E2990" t="str">
        <f t="shared" si="46"/>
        <v>1214-129208-44788</v>
      </c>
    </row>
    <row r="2991" spans="1:5" ht="14.25" customHeight="1">
      <c r="A2991" s="4">
        <v>1214</v>
      </c>
      <c r="B2991" s="4">
        <v>141622</v>
      </c>
      <c r="C2991" s="17">
        <v>44739</v>
      </c>
      <c r="D2991" s="4">
        <v>8</v>
      </c>
      <c r="E2991" t="str">
        <f t="shared" si="46"/>
        <v>1214-141622-44739</v>
      </c>
    </row>
    <row r="2992" spans="1:5" ht="14.25" customHeight="1">
      <c r="A2992" s="4">
        <v>1214</v>
      </c>
      <c r="B2992" s="4">
        <v>141622</v>
      </c>
      <c r="C2992" s="17">
        <v>44746</v>
      </c>
      <c r="D2992" s="4">
        <v>30</v>
      </c>
      <c r="E2992" t="str">
        <f t="shared" si="46"/>
        <v>1214-141622-44746</v>
      </c>
    </row>
    <row r="2993" spans="1:5" ht="14.25" customHeight="1">
      <c r="A2993" s="4">
        <v>1214</v>
      </c>
      <c r="B2993" s="4">
        <v>141622</v>
      </c>
      <c r="C2993" s="17">
        <v>44753</v>
      </c>
      <c r="D2993" s="4">
        <v>27</v>
      </c>
      <c r="E2993" t="str">
        <f t="shared" si="46"/>
        <v>1214-141622-44753</v>
      </c>
    </row>
    <row r="2994" spans="1:5" ht="14.25" customHeight="1">
      <c r="A2994" s="4">
        <v>1214</v>
      </c>
      <c r="B2994" s="4">
        <v>141622</v>
      </c>
      <c r="C2994" s="17">
        <v>44760</v>
      </c>
      <c r="D2994" s="4">
        <v>13</v>
      </c>
      <c r="E2994" t="str">
        <f t="shared" si="46"/>
        <v>1214-141622-44760</v>
      </c>
    </row>
    <row r="2995" spans="1:5" ht="14.25" customHeight="1">
      <c r="A2995" s="4">
        <v>1214</v>
      </c>
      <c r="B2995" s="4">
        <v>141622</v>
      </c>
      <c r="C2995" s="17">
        <v>44767</v>
      </c>
      <c r="D2995" s="4">
        <v>12</v>
      </c>
      <c r="E2995" t="str">
        <f t="shared" si="46"/>
        <v>1214-141622-44767</v>
      </c>
    </row>
    <row r="2996" spans="1:5" ht="14.25" customHeight="1">
      <c r="A2996" s="4">
        <v>1214</v>
      </c>
      <c r="B2996" s="4">
        <v>141622</v>
      </c>
      <c r="C2996" s="17">
        <v>44774</v>
      </c>
      <c r="D2996" s="4">
        <v>37</v>
      </c>
      <c r="E2996" t="str">
        <f t="shared" si="46"/>
        <v>1214-141622-44774</v>
      </c>
    </row>
    <row r="2997" spans="1:5" ht="14.25" customHeight="1">
      <c r="A2997" s="4">
        <v>1214</v>
      </c>
      <c r="B2997" s="4">
        <v>141622</v>
      </c>
      <c r="C2997" s="17">
        <v>44781</v>
      </c>
      <c r="D2997" s="4">
        <v>26</v>
      </c>
      <c r="E2997" t="str">
        <f t="shared" si="46"/>
        <v>1214-141622-44781</v>
      </c>
    </row>
    <row r="2998" spans="1:5" ht="14.25" customHeight="1">
      <c r="A2998" s="4">
        <v>1214</v>
      </c>
      <c r="B2998" s="4">
        <v>141622</v>
      </c>
      <c r="C2998" s="17">
        <v>44788</v>
      </c>
      <c r="D2998" s="4">
        <v>13</v>
      </c>
      <c r="E2998" t="str">
        <f t="shared" si="46"/>
        <v>1214-141622-44788</v>
      </c>
    </row>
    <row r="2999" spans="1:5" ht="14.25" customHeight="1">
      <c r="A2999" s="4">
        <v>1214</v>
      </c>
      <c r="B2999" s="4">
        <v>141626</v>
      </c>
      <c r="C2999" s="17">
        <v>44739</v>
      </c>
      <c r="D2999" s="4">
        <v>113</v>
      </c>
      <c r="E2999" t="str">
        <f t="shared" si="46"/>
        <v>1214-141626-44739</v>
      </c>
    </row>
    <row r="3000" spans="1:5" ht="14.25" customHeight="1">
      <c r="A3000" s="4">
        <v>1214</v>
      </c>
      <c r="B3000" s="4">
        <v>141626</v>
      </c>
      <c r="C3000" s="17">
        <v>44746</v>
      </c>
      <c r="D3000" s="4">
        <v>132</v>
      </c>
      <c r="E3000" t="str">
        <f t="shared" si="46"/>
        <v>1214-141626-44746</v>
      </c>
    </row>
    <row r="3001" spans="1:5" ht="14.25" customHeight="1">
      <c r="A3001" s="4">
        <v>1214</v>
      </c>
      <c r="B3001" s="4">
        <v>141626</v>
      </c>
      <c r="C3001" s="17">
        <v>44753</v>
      </c>
      <c r="D3001" s="4">
        <v>573</v>
      </c>
      <c r="E3001" t="str">
        <f t="shared" si="46"/>
        <v>1214-141626-44753</v>
      </c>
    </row>
    <row r="3002" spans="1:5" ht="14.25" customHeight="1">
      <c r="A3002" s="4">
        <v>1214</v>
      </c>
      <c r="B3002" s="4">
        <v>141626</v>
      </c>
      <c r="C3002" s="17">
        <v>44760</v>
      </c>
      <c r="D3002" s="4">
        <v>620</v>
      </c>
      <c r="E3002" t="str">
        <f t="shared" si="46"/>
        <v>1214-141626-44760</v>
      </c>
    </row>
    <row r="3003" spans="1:5" ht="14.25" customHeight="1">
      <c r="A3003" s="4">
        <v>1214</v>
      </c>
      <c r="B3003" s="4">
        <v>141626</v>
      </c>
      <c r="C3003" s="17">
        <v>44767</v>
      </c>
      <c r="D3003" s="4">
        <v>108</v>
      </c>
      <c r="E3003" t="str">
        <f t="shared" si="46"/>
        <v>1214-141626-44767</v>
      </c>
    </row>
    <row r="3004" spans="1:5" ht="14.25" customHeight="1">
      <c r="A3004" s="4">
        <v>1214</v>
      </c>
      <c r="B3004" s="4">
        <v>141626</v>
      </c>
      <c r="C3004" s="17">
        <v>44774</v>
      </c>
      <c r="D3004" s="4">
        <v>108</v>
      </c>
      <c r="E3004" t="str">
        <f t="shared" si="46"/>
        <v>1214-141626-44774</v>
      </c>
    </row>
    <row r="3005" spans="1:5" ht="14.25" customHeight="1">
      <c r="A3005" s="4">
        <v>1214</v>
      </c>
      <c r="B3005" s="4">
        <v>141626</v>
      </c>
      <c r="C3005" s="17">
        <v>44781</v>
      </c>
      <c r="D3005" s="4">
        <v>635</v>
      </c>
      <c r="E3005" t="str">
        <f t="shared" si="46"/>
        <v>1214-141626-44781</v>
      </c>
    </row>
    <row r="3006" spans="1:5" ht="14.25" customHeight="1">
      <c r="A3006" s="4">
        <v>1214</v>
      </c>
      <c r="B3006" s="4">
        <v>141626</v>
      </c>
      <c r="C3006" s="17">
        <v>44788</v>
      </c>
      <c r="D3006" s="4">
        <v>114</v>
      </c>
      <c r="E3006" t="str">
        <f t="shared" si="46"/>
        <v>1214-141626-44788</v>
      </c>
    </row>
    <row r="3007" spans="1:5" ht="14.25" customHeight="1">
      <c r="A3007" s="4">
        <v>1214</v>
      </c>
      <c r="B3007" s="4">
        <v>141791</v>
      </c>
      <c r="C3007" s="17">
        <v>44739</v>
      </c>
      <c r="D3007" s="4">
        <v>51</v>
      </c>
      <c r="E3007" t="str">
        <f t="shared" si="46"/>
        <v>1214-141791-44739</v>
      </c>
    </row>
    <row r="3008" spans="1:5" ht="14.25" customHeight="1">
      <c r="A3008" s="4">
        <v>1214</v>
      </c>
      <c r="B3008" s="4">
        <v>141791</v>
      </c>
      <c r="C3008" s="17">
        <v>44746</v>
      </c>
      <c r="D3008" s="4">
        <v>55</v>
      </c>
      <c r="E3008" t="str">
        <f t="shared" si="46"/>
        <v>1214-141791-44746</v>
      </c>
    </row>
    <row r="3009" spans="1:5" ht="14.25" customHeight="1">
      <c r="A3009" s="4">
        <v>1214</v>
      </c>
      <c r="B3009" s="4">
        <v>141791</v>
      </c>
      <c r="C3009" s="17">
        <v>44753</v>
      </c>
      <c r="D3009" s="4">
        <v>56</v>
      </c>
      <c r="E3009" t="str">
        <f t="shared" si="46"/>
        <v>1214-141791-44753</v>
      </c>
    </row>
    <row r="3010" spans="1:5" ht="14.25" customHeight="1">
      <c r="A3010" s="4">
        <v>1214</v>
      </c>
      <c r="B3010" s="4">
        <v>141791</v>
      </c>
      <c r="C3010" s="17">
        <v>44760</v>
      </c>
      <c r="D3010" s="4">
        <v>57</v>
      </c>
      <c r="E3010" t="str">
        <f t="shared" si="46"/>
        <v>1214-141791-44760</v>
      </c>
    </row>
    <row r="3011" spans="1:5" ht="14.25" customHeight="1">
      <c r="A3011" s="4">
        <v>1214</v>
      </c>
      <c r="B3011" s="4">
        <v>141791</v>
      </c>
      <c r="C3011" s="17">
        <v>44767</v>
      </c>
      <c r="D3011" s="4">
        <v>57</v>
      </c>
      <c r="E3011" t="str">
        <f t="shared" ref="E3011:E3074" si="47">A3011&amp;"-"&amp;B3011&amp;"-"&amp;INT(C3011)</f>
        <v>1214-141791-44767</v>
      </c>
    </row>
    <row r="3012" spans="1:5" ht="14.25" customHeight="1">
      <c r="A3012" s="4">
        <v>1214</v>
      </c>
      <c r="B3012" s="4">
        <v>141791</v>
      </c>
      <c r="C3012" s="17">
        <v>44774</v>
      </c>
      <c r="D3012" s="4">
        <v>48</v>
      </c>
      <c r="E3012" t="str">
        <f t="shared" si="47"/>
        <v>1214-141791-44774</v>
      </c>
    </row>
    <row r="3013" spans="1:5" ht="14.25" customHeight="1">
      <c r="A3013" s="4">
        <v>1214</v>
      </c>
      <c r="B3013" s="4">
        <v>141791</v>
      </c>
      <c r="C3013" s="17">
        <v>44781</v>
      </c>
      <c r="D3013" s="4">
        <v>54</v>
      </c>
      <c r="E3013" t="str">
        <f t="shared" si="47"/>
        <v>1214-141791-44781</v>
      </c>
    </row>
    <row r="3014" spans="1:5" ht="14.25" customHeight="1">
      <c r="A3014" s="4">
        <v>1214</v>
      </c>
      <c r="B3014" s="4">
        <v>141791</v>
      </c>
      <c r="C3014" s="17">
        <v>44788</v>
      </c>
      <c r="D3014" s="4">
        <v>57</v>
      </c>
      <c r="E3014" t="str">
        <f t="shared" si="47"/>
        <v>1214-141791-44788</v>
      </c>
    </row>
    <row r="3015" spans="1:5" ht="14.25" customHeight="1">
      <c r="A3015" s="4">
        <v>1214</v>
      </c>
      <c r="B3015" s="4">
        <v>141846</v>
      </c>
      <c r="C3015" s="17">
        <v>44739</v>
      </c>
      <c r="D3015" s="4">
        <v>6</v>
      </c>
      <c r="E3015" t="str">
        <f t="shared" si="47"/>
        <v>1214-141846-44739</v>
      </c>
    </row>
    <row r="3016" spans="1:5" ht="14.25" customHeight="1">
      <c r="A3016" s="4">
        <v>1214</v>
      </c>
      <c r="B3016" s="4">
        <v>141846</v>
      </c>
      <c r="C3016" s="17">
        <v>44746</v>
      </c>
      <c r="D3016" s="4">
        <v>21</v>
      </c>
      <c r="E3016" t="str">
        <f t="shared" si="47"/>
        <v>1214-141846-44746</v>
      </c>
    </row>
    <row r="3017" spans="1:5" ht="14.25" customHeight="1">
      <c r="A3017" s="4">
        <v>1214</v>
      </c>
      <c r="B3017" s="4">
        <v>141846</v>
      </c>
      <c r="C3017" s="17">
        <v>44753</v>
      </c>
      <c r="D3017" s="4">
        <v>36</v>
      </c>
      <c r="E3017" t="str">
        <f t="shared" si="47"/>
        <v>1214-141846-44753</v>
      </c>
    </row>
    <row r="3018" spans="1:5" ht="14.25" customHeight="1">
      <c r="A3018" s="4">
        <v>1214</v>
      </c>
      <c r="B3018" s="4">
        <v>141846</v>
      </c>
      <c r="C3018" s="17">
        <v>44760</v>
      </c>
      <c r="D3018" s="4">
        <v>30</v>
      </c>
      <c r="E3018" t="str">
        <f t="shared" si="47"/>
        <v>1214-141846-44760</v>
      </c>
    </row>
    <row r="3019" spans="1:5" ht="14.25" customHeight="1">
      <c r="A3019" s="4">
        <v>1214</v>
      </c>
      <c r="B3019" s="4">
        <v>141846</v>
      </c>
      <c r="C3019" s="17">
        <v>44767</v>
      </c>
      <c r="D3019" s="4">
        <v>20</v>
      </c>
      <c r="E3019" t="str">
        <f t="shared" si="47"/>
        <v>1214-141846-44767</v>
      </c>
    </row>
    <row r="3020" spans="1:5" ht="14.25" customHeight="1">
      <c r="A3020" s="4">
        <v>1214</v>
      </c>
      <c r="B3020" s="4">
        <v>141846</v>
      </c>
      <c r="C3020" s="17">
        <v>44774</v>
      </c>
      <c r="D3020" s="4">
        <v>33</v>
      </c>
      <c r="E3020" t="str">
        <f t="shared" si="47"/>
        <v>1214-141846-44774</v>
      </c>
    </row>
    <row r="3021" spans="1:5" ht="14.25" customHeight="1">
      <c r="A3021" s="4">
        <v>1214</v>
      </c>
      <c r="B3021" s="4">
        <v>141846</v>
      </c>
      <c r="C3021" s="17">
        <v>44781</v>
      </c>
      <c r="D3021" s="4">
        <v>21</v>
      </c>
      <c r="E3021" t="str">
        <f t="shared" si="47"/>
        <v>1214-141846-44781</v>
      </c>
    </row>
    <row r="3022" spans="1:5" ht="14.25" customHeight="1">
      <c r="A3022" s="4">
        <v>1214</v>
      </c>
      <c r="B3022" s="4">
        <v>141846</v>
      </c>
      <c r="C3022" s="17">
        <v>44788</v>
      </c>
      <c r="D3022" s="4">
        <v>5</v>
      </c>
      <c r="E3022" t="str">
        <f t="shared" si="47"/>
        <v>1214-141846-44788</v>
      </c>
    </row>
    <row r="3023" spans="1:5" ht="14.25" customHeight="1">
      <c r="A3023" s="4">
        <v>1214</v>
      </c>
      <c r="B3023" s="4">
        <v>141967</v>
      </c>
      <c r="C3023" s="17">
        <v>44739</v>
      </c>
      <c r="D3023" s="4">
        <v>3</v>
      </c>
      <c r="E3023" t="str">
        <f t="shared" si="47"/>
        <v>1214-141967-44739</v>
      </c>
    </row>
    <row r="3024" spans="1:5" ht="14.25" customHeight="1">
      <c r="A3024" s="4">
        <v>1214</v>
      </c>
      <c r="B3024" s="4">
        <v>141967</v>
      </c>
      <c r="C3024" s="17">
        <v>44746</v>
      </c>
      <c r="D3024" s="4">
        <v>-2</v>
      </c>
      <c r="E3024" t="str">
        <f t="shared" si="47"/>
        <v>1214-141967-44746</v>
      </c>
    </row>
    <row r="3025" spans="1:5" ht="14.25" customHeight="1">
      <c r="A3025" s="4">
        <v>1214</v>
      </c>
      <c r="B3025" s="4">
        <v>141967</v>
      </c>
      <c r="C3025" s="17">
        <v>44753</v>
      </c>
      <c r="D3025" s="4">
        <v>14</v>
      </c>
      <c r="E3025" t="str">
        <f t="shared" si="47"/>
        <v>1214-141967-44753</v>
      </c>
    </row>
    <row r="3026" spans="1:5" ht="14.25" customHeight="1">
      <c r="A3026" s="4">
        <v>1214</v>
      </c>
      <c r="B3026" s="4">
        <v>141967</v>
      </c>
      <c r="C3026" s="17">
        <v>44760</v>
      </c>
      <c r="D3026" s="4">
        <v>2</v>
      </c>
      <c r="E3026" t="str">
        <f t="shared" si="47"/>
        <v>1214-141967-44760</v>
      </c>
    </row>
    <row r="3027" spans="1:5" ht="14.25" customHeight="1">
      <c r="A3027" s="4">
        <v>1214</v>
      </c>
      <c r="B3027" s="4">
        <v>141967</v>
      </c>
      <c r="C3027" s="17">
        <v>44767</v>
      </c>
      <c r="D3027" s="4">
        <v>22</v>
      </c>
      <c r="E3027" t="str">
        <f t="shared" si="47"/>
        <v>1214-141967-44767</v>
      </c>
    </row>
    <row r="3028" spans="1:5" ht="14.25" customHeight="1">
      <c r="A3028" s="4">
        <v>1214</v>
      </c>
      <c r="B3028" s="4">
        <v>141967</v>
      </c>
      <c r="C3028" s="17">
        <v>44774</v>
      </c>
      <c r="D3028" s="4">
        <v>6</v>
      </c>
      <c r="E3028" t="str">
        <f t="shared" si="47"/>
        <v>1214-141967-44774</v>
      </c>
    </row>
    <row r="3029" spans="1:5" ht="14.25" customHeight="1">
      <c r="A3029" s="4">
        <v>1214</v>
      </c>
      <c r="B3029" s="4">
        <v>141967</v>
      </c>
      <c r="C3029" s="17">
        <v>44781</v>
      </c>
      <c r="D3029" s="4">
        <v>6</v>
      </c>
      <c r="E3029" t="str">
        <f t="shared" si="47"/>
        <v>1214-141967-44781</v>
      </c>
    </row>
    <row r="3030" spans="1:5" ht="14.25" customHeight="1">
      <c r="A3030" s="4">
        <v>1214</v>
      </c>
      <c r="B3030" s="4">
        <v>141967</v>
      </c>
      <c r="C3030" s="17">
        <v>44788</v>
      </c>
      <c r="D3030" s="4">
        <v>18</v>
      </c>
      <c r="E3030" t="str">
        <f t="shared" si="47"/>
        <v>1214-141967-44788</v>
      </c>
    </row>
    <row r="3031" spans="1:5" ht="14.25" customHeight="1">
      <c r="A3031" s="4">
        <v>1214</v>
      </c>
      <c r="B3031" s="4">
        <v>142194</v>
      </c>
      <c r="C3031" s="17">
        <v>44739</v>
      </c>
      <c r="D3031" s="4">
        <v>6</v>
      </c>
      <c r="E3031" t="str">
        <f t="shared" si="47"/>
        <v>1214-142194-44739</v>
      </c>
    </row>
    <row r="3032" spans="1:5" ht="14.25" customHeight="1">
      <c r="A3032" s="4">
        <v>1214</v>
      </c>
      <c r="B3032" s="4">
        <v>142194</v>
      </c>
      <c r="C3032" s="17">
        <v>44746</v>
      </c>
      <c r="D3032" s="4">
        <v>6</v>
      </c>
      <c r="E3032" t="str">
        <f t="shared" si="47"/>
        <v>1214-142194-44746</v>
      </c>
    </row>
    <row r="3033" spans="1:5" ht="14.25" customHeight="1">
      <c r="A3033" s="4">
        <v>1214</v>
      </c>
      <c r="B3033" s="4">
        <v>142194</v>
      </c>
      <c r="C3033" s="17">
        <v>44753</v>
      </c>
      <c r="D3033" s="4">
        <v>6</v>
      </c>
      <c r="E3033" t="str">
        <f t="shared" si="47"/>
        <v>1214-142194-44753</v>
      </c>
    </row>
    <row r="3034" spans="1:5" ht="14.25" customHeight="1">
      <c r="A3034" s="4">
        <v>1214</v>
      </c>
      <c r="B3034" s="4">
        <v>142194</v>
      </c>
      <c r="C3034" s="17">
        <v>44760</v>
      </c>
      <c r="D3034" s="4">
        <v>6</v>
      </c>
      <c r="E3034" t="str">
        <f t="shared" si="47"/>
        <v>1214-142194-44760</v>
      </c>
    </row>
    <row r="3035" spans="1:5" ht="14.25" customHeight="1">
      <c r="A3035" s="4">
        <v>1214</v>
      </c>
      <c r="B3035" s="4">
        <v>142194</v>
      </c>
      <c r="C3035" s="17">
        <v>44767</v>
      </c>
      <c r="D3035" s="4">
        <v>6</v>
      </c>
      <c r="E3035" t="str">
        <f t="shared" si="47"/>
        <v>1214-142194-44767</v>
      </c>
    </row>
    <row r="3036" spans="1:5" ht="14.25" customHeight="1">
      <c r="A3036" s="4">
        <v>1214</v>
      </c>
      <c r="B3036" s="4">
        <v>142194</v>
      </c>
      <c r="C3036" s="17">
        <v>44774</v>
      </c>
      <c r="D3036" s="4">
        <v>6</v>
      </c>
      <c r="E3036" t="str">
        <f t="shared" si="47"/>
        <v>1214-142194-44774</v>
      </c>
    </row>
    <row r="3037" spans="1:5" ht="14.25" customHeight="1">
      <c r="A3037" s="4">
        <v>1214</v>
      </c>
      <c r="B3037" s="4">
        <v>142194</v>
      </c>
      <c r="C3037" s="17">
        <v>44781</v>
      </c>
      <c r="D3037" s="4">
        <v>6</v>
      </c>
      <c r="E3037" t="str">
        <f t="shared" si="47"/>
        <v>1214-142194-44781</v>
      </c>
    </row>
    <row r="3038" spans="1:5" ht="14.25" customHeight="1">
      <c r="A3038" s="4">
        <v>1214</v>
      </c>
      <c r="B3038" s="4">
        <v>142194</v>
      </c>
      <c r="C3038" s="17">
        <v>44788</v>
      </c>
      <c r="D3038" s="4">
        <v>6</v>
      </c>
      <c r="E3038" t="str">
        <f t="shared" si="47"/>
        <v>1214-142194-44788</v>
      </c>
    </row>
    <row r="3039" spans="1:5" ht="14.25" customHeight="1">
      <c r="A3039" s="4">
        <v>1214</v>
      </c>
      <c r="B3039" s="4">
        <v>149729</v>
      </c>
      <c r="C3039" s="17">
        <v>44739</v>
      </c>
      <c r="D3039" s="4">
        <v>22</v>
      </c>
      <c r="E3039" t="str">
        <f t="shared" si="47"/>
        <v>1214-149729-44739</v>
      </c>
    </row>
    <row r="3040" spans="1:5" ht="14.25" customHeight="1">
      <c r="A3040" s="4">
        <v>1214</v>
      </c>
      <c r="B3040" s="4">
        <v>149729</v>
      </c>
      <c r="C3040" s="17">
        <v>44746</v>
      </c>
      <c r="D3040" s="4">
        <v>20</v>
      </c>
      <c r="E3040" t="str">
        <f t="shared" si="47"/>
        <v>1214-149729-44746</v>
      </c>
    </row>
    <row r="3041" spans="1:5" ht="14.25" customHeight="1">
      <c r="A3041" s="4">
        <v>1214</v>
      </c>
      <c r="B3041" s="4">
        <v>149729</v>
      </c>
      <c r="C3041" s="17">
        <v>44753</v>
      </c>
      <c r="D3041" s="4">
        <v>18</v>
      </c>
      <c r="E3041" t="str">
        <f t="shared" si="47"/>
        <v>1214-149729-44753</v>
      </c>
    </row>
    <row r="3042" spans="1:5" ht="14.25" customHeight="1">
      <c r="A3042" s="4">
        <v>1214</v>
      </c>
      <c r="B3042" s="4">
        <v>149729</v>
      </c>
      <c r="C3042" s="17">
        <v>44760</v>
      </c>
      <c r="D3042" s="4">
        <v>11</v>
      </c>
      <c r="E3042" t="str">
        <f t="shared" si="47"/>
        <v>1214-149729-44760</v>
      </c>
    </row>
    <row r="3043" spans="1:5" ht="14.25" customHeight="1">
      <c r="A3043" s="4">
        <v>1214</v>
      </c>
      <c r="B3043" s="4">
        <v>149729</v>
      </c>
      <c r="C3043" s="17">
        <v>44767</v>
      </c>
      <c r="D3043" s="4">
        <v>25</v>
      </c>
      <c r="E3043" t="str">
        <f t="shared" si="47"/>
        <v>1214-149729-44767</v>
      </c>
    </row>
    <row r="3044" spans="1:5" ht="14.25" customHeight="1">
      <c r="A3044" s="4">
        <v>1214</v>
      </c>
      <c r="B3044" s="4">
        <v>149729</v>
      </c>
      <c r="C3044" s="17">
        <v>44774</v>
      </c>
      <c r="D3044" s="4">
        <v>21</v>
      </c>
      <c r="E3044" t="str">
        <f t="shared" si="47"/>
        <v>1214-149729-44774</v>
      </c>
    </row>
    <row r="3045" spans="1:5" ht="14.25" customHeight="1">
      <c r="A3045" s="4">
        <v>1214</v>
      </c>
      <c r="B3045" s="4">
        <v>149729</v>
      </c>
      <c r="C3045" s="17">
        <v>44781</v>
      </c>
      <c r="D3045" s="4">
        <v>24</v>
      </c>
      <c r="E3045" t="str">
        <f t="shared" si="47"/>
        <v>1214-149729-44781</v>
      </c>
    </row>
    <row r="3046" spans="1:5" ht="14.25" customHeight="1">
      <c r="A3046" s="4">
        <v>1214</v>
      </c>
      <c r="B3046" s="4">
        <v>149729</v>
      </c>
      <c r="C3046" s="17">
        <v>44788</v>
      </c>
      <c r="D3046" s="4">
        <v>18</v>
      </c>
      <c r="E3046" t="str">
        <f t="shared" si="47"/>
        <v>1214-149729-44788</v>
      </c>
    </row>
    <row r="3047" spans="1:5" ht="14.25" customHeight="1">
      <c r="A3047" s="4">
        <v>1214</v>
      </c>
      <c r="B3047" s="4">
        <v>149779</v>
      </c>
      <c r="C3047" s="17">
        <v>44739</v>
      </c>
      <c r="D3047" s="4">
        <v>43</v>
      </c>
      <c r="E3047" t="str">
        <f t="shared" si="47"/>
        <v>1214-149779-44739</v>
      </c>
    </row>
    <row r="3048" spans="1:5" ht="14.25" customHeight="1">
      <c r="A3048" s="4">
        <v>1214</v>
      </c>
      <c r="B3048" s="4">
        <v>149779</v>
      </c>
      <c r="C3048" s="17">
        <v>44746</v>
      </c>
      <c r="D3048" s="4">
        <v>36</v>
      </c>
      <c r="E3048" t="str">
        <f t="shared" si="47"/>
        <v>1214-149779-44746</v>
      </c>
    </row>
    <row r="3049" spans="1:5" ht="14.25" customHeight="1">
      <c r="A3049" s="4">
        <v>1214</v>
      </c>
      <c r="B3049" s="4">
        <v>149779</v>
      </c>
      <c r="C3049" s="17">
        <v>44753</v>
      </c>
      <c r="D3049" s="4">
        <v>44</v>
      </c>
      <c r="E3049" t="str">
        <f t="shared" si="47"/>
        <v>1214-149779-44753</v>
      </c>
    </row>
    <row r="3050" spans="1:5" ht="14.25" customHeight="1">
      <c r="A3050" s="4">
        <v>1214</v>
      </c>
      <c r="B3050" s="4">
        <v>149779</v>
      </c>
      <c r="C3050" s="17">
        <v>44760</v>
      </c>
      <c r="D3050" s="4">
        <v>39</v>
      </c>
      <c r="E3050" t="str">
        <f t="shared" si="47"/>
        <v>1214-149779-44760</v>
      </c>
    </row>
    <row r="3051" spans="1:5" ht="14.25" customHeight="1">
      <c r="A3051" s="4">
        <v>1214</v>
      </c>
      <c r="B3051" s="4">
        <v>149779</v>
      </c>
      <c r="C3051" s="17">
        <v>44767</v>
      </c>
      <c r="D3051" s="4">
        <v>17</v>
      </c>
      <c r="E3051" t="str">
        <f t="shared" si="47"/>
        <v>1214-149779-44767</v>
      </c>
    </row>
    <row r="3052" spans="1:5" ht="14.25" customHeight="1">
      <c r="A3052" s="4">
        <v>1214</v>
      </c>
      <c r="B3052" s="4">
        <v>149779</v>
      </c>
      <c r="C3052" s="17">
        <v>44774</v>
      </c>
      <c r="D3052" s="4">
        <v>21</v>
      </c>
      <c r="E3052" t="str">
        <f t="shared" si="47"/>
        <v>1214-149779-44774</v>
      </c>
    </row>
    <row r="3053" spans="1:5" ht="14.25" customHeight="1">
      <c r="A3053" s="4">
        <v>1214</v>
      </c>
      <c r="B3053" s="4">
        <v>149779</v>
      </c>
      <c r="C3053" s="17">
        <v>44781</v>
      </c>
      <c r="D3053" s="4">
        <v>42</v>
      </c>
      <c r="E3053" t="str">
        <f t="shared" si="47"/>
        <v>1214-149779-44781</v>
      </c>
    </row>
    <row r="3054" spans="1:5" ht="14.25" customHeight="1">
      <c r="A3054" s="4">
        <v>1214</v>
      </c>
      <c r="B3054" s="4">
        <v>149779</v>
      </c>
      <c r="C3054" s="17">
        <v>44788</v>
      </c>
      <c r="D3054" s="4">
        <v>49</v>
      </c>
      <c r="E3054" t="str">
        <f t="shared" si="47"/>
        <v>1214-149779-44788</v>
      </c>
    </row>
    <row r="3055" spans="1:5" ht="14.25" customHeight="1">
      <c r="A3055" s="4">
        <v>1214</v>
      </c>
      <c r="B3055" s="4">
        <v>189933</v>
      </c>
      <c r="C3055" s="17">
        <v>44739</v>
      </c>
      <c r="D3055" s="4">
        <v>12</v>
      </c>
      <c r="E3055" t="str">
        <f t="shared" si="47"/>
        <v>1214-189933-44739</v>
      </c>
    </row>
    <row r="3056" spans="1:5" ht="14.25" customHeight="1">
      <c r="A3056" s="4">
        <v>1214</v>
      </c>
      <c r="B3056" s="4">
        <v>189933</v>
      </c>
      <c r="C3056" s="17">
        <v>44746</v>
      </c>
      <c r="D3056" s="4">
        <v>15</v>
      </c>
      <c r="E3056" t="str">
        <f t="shared" si="47"/>
        <v>1214-189933-44746</v>
      </c>
    </row>
    <row r="3057" spans="1:5" ht="14.25" customHeight="1">
      <c r="A3057" s="4">
        <v>1214</v>
      </c>
      <c r="B3057" s="4">
        <v>189933</v>
      </c>
      <c r="C3057" s="17">
        <v>44753</v>
      </c>
      <c r="D3057" s="4">
        <v>6</v>
      </c>
      <c r="E3057" t="str">
        <f t="shared" si="47"/>
        <v>1214-189933-44753</v>
      </c>
    </row>
    <row r="3058" spans="1:5" ht="14.25" customHeight="1">
      <c r="A3058" s="4">
        <v>1214</v>
      </c>
      <c r="B3058" s="4">
        <v>189933</v>
      </c>
      <c r="C3058" s="17">
        <v>44760</v>
      </c>
      <c r="D3058" s="4">
        <v>48</v>
      </c>
      <c r="E3058" t="str">
        <f t="shared" si="47"/>
        <v>1214-189933-44760</v>
      </c>
    </row>
    <row r="3059" spans="1:5" ht="14.25" customHeight="1">
      <c r="A3059" s="4">
        <v>1214</v>
      </c>
      <c r="B3059" s="4">
        <v>189933</v>
      </c>
      <c r="C3059" s="17">
        <v>44767</v>
      </c>
      <c r="D3059" s="4">
        <v>8</v>
      </c>
      <c r="E3059" t="str">
        <f t="shared" si="47"/>
        <v>1214-189933-44767</v>
      </c>
    </row>
    <row r="3060" spans="1:5" ht="14.25" customHeight="1">
      <c r="A3060" s="4">
        <v>1214</v>
      </c>
      <c r="B3060" s="4">
        <v>189933</v>
      </c>
      <c r="C3060" s="17">
        <v>44774</v>
      </c>
      <c r="D3060" s="4">
        <v>42</v>
      </c>
      <c r="E3060" t="str">
        <f t="shared" si="47"/>
        <v>1214-189933-44774</v>
      </c>
    </row>
    <row r="3061" spans="1:5" ht="14.25" customHeight="1">
      <c r="A3061" s="4">
        <v>1214</v>
      </c>
      <c r="B3061" s="4">
        <v>189933</v>
      </c>
      <c r="C3061" s="17">
        <v>44781</v>
      </c>
      <c r="D3061" s="4">
        <v>6</v>
      </c>
      <c r="E3061" t="str">
        <f t="shared" si="47"/>
        <v>1214-189933-44781</v>
      </c>
    </row>
    <row r="3062" spans="1:5" ht="14.25" customHeight="1">
      <c r="A3062" s="4">
        <v>1214</v>
      </c>
      <c r="B3062" s="4">
        <v>189933</v>
      </c>
      <c r="C3062" s="17">
        <v>44788</v>
      </c>
      <c r="D3062" s="4">
        <v>7</v>
      </c>
      <c r="E3062" t="str">
        <f t="shared" si="47"/>
        <v>1214-189933-44788</v>
      </c>
    </row>
    <row r="3063" spans="1:5" ht="14.25" customHeight="1">
      <c r="A3063" s="4">
        <v>1214</v>
      </c>
      <c r="B3063" s="4">
        <v>202577</v>
      </c>
      <c r="C3063" s="17">
        <v>44739</v>
      </c>
      <c r="D3063" s="4">
        <v>47</v>
      </c>
      <c r="E3063" t="str">
        <f t="shared" si="47"/>
        <v>1214-202577-44739</v>
      </c>
    </row>
    <row r="3064" spans="1:5" ht="14.25" customHeight="1">
      <c r="A3064" s="4">
        <v>1214</v>
      </c>
      <c r="B3064" s="4">
        <v>202577</v>
      </c>
      <c r="C3064" s="17">
        <v>44746</v>
      </c>
      <c r="D3064" s="4">
        <v>20</v>
      </c>
      <c r="E3064" t="str">
        <f t="shared" si="47"/>
        <v>1214-202577-44746</v>
      </c>
    </row>
    <row r="3065" spans="1:5" ht="14.25" customHeight="1">
      <c r="A3065" s="4">
        <v>1214</v>
      </c>
      <c r="B3065" s="4">
        <v>202577</v>
      </c>
      <c r="C3065" s="17">
        <v>44753</v>
      </c>
      <c r="D3065" s="4">
        <v>39</v>
      </c>
      <c r="E3065" t="str">
        <f t="shared" si="47"/>
        <v>1214-202577-44753</v>
      </c>
    </row>
    <row r="3066" spans="1:5" ht="14.25" customHeight="1">
      <c r="A3066" s="4">
        <v>1214</v>
      </c>
      <c r="B3066" s="4">
        <v>202577</v>
      </c>
      <c r="C3066" s="17">
        <v>44760</v>
      </c>
      <c r="D3066" s="4">
        <v>46</v>
      </c>
      <c r="E3066" t="str">
        <f t="shared" si="47"/>
        <v>1214-202577-44760</v>
      </c>
    </row>
    <row r="3067" spans="1:5" ht="14.25" customHeight="1">
      <c r="A3067" s="4">
        <v>1214</v>
      </c>
      <c r="B3067" s="4">
        <v>202577</v>
      </c>
      <c r="C3067" s="17">
        <v>44767</v>
      </c>
      <c r="D3067" s="4">
        <v>30</v>
      </c>
      <c r="E3067" t="str">
        <f t="shared" si="47"/>
        <v>1214-202577-44767</v>
      </c>
    </row>
    <row r="3068" spans="1:5" ht="14.25" customHeight="1">
      <c r="A3068" s="4">
        <v>1214</v>
      </c>
      <c r="B3068" s="4">
        <v>202577</v>
      </c>
      <c r="C3068" s="17">
        <v>44774</v>
      </c>
      <c r="D3068" s="4">
        <v>41</v>
      </c>
      <c r="E3068" t="str">
        <f t="shared" si="47"/>
        <v>1214-202577-44774</v>
      </c>
    </row>
    <row r="3069" spans="1:5" ht="14.25" customHeight="1">
      <c r="A3069" s="4">
        <v>1214</v>
      </c>
      <c r="B3069" s="4">
        <v>202577</v>
      </c>
      <c r="C3069" s="17">
        <v>44781</v>
      </c>
      <c r="D3069" s="4">
        <v>48</v>
      </c>
      <c r="E3069" t="str">
        <f t="shared" si="47"/>
        <v>1214-202577-44781</v>
      </c>
    </row>
    <row r="3070" spans="1:5" ht="14.25" customHeight="1">
      <c r="A3070" s="4">
        <v>1214</v>
      </c>
      <c r="B3070" s="4">
        <v>202577</v>
      </c>
      <c r="C3070" s="17">
        <v>44788</v>
      </c>
      <c r="D3070" s="4">
        <v>43</v>
      </c>
      <c r="E3070" t="str">
        <f t="shared" si="47"/>
        <v>1214-202577-44788</v>
      </c>
    </row>
    <row r="3071" spans="1:5" ht="14.25" customHeight="1">
      <c r="A3071" s="4">
        <v>1214</v>
      </c>
      <c r="B3071" s="4">
        <v>234334</v>
      </c>
      <c r="C3071" s="17">
        <v>44739</v>
      </c>
      <c r="D3071" s="4">
        <v>68</v>
      </c>
      <c r="E3071" t="str">
        <f t="shared" si="47"/>
        <v>1214-234334-44739</v>
      </c>
    </row>
    <row r="3072" spans="1:5" ht="14.25" customHeight="1">
      <c r="A3072" s="4">
        <v>1214</v>
      </c>
      <c r="B3072" s="4">
        <v>234334</v>
      </c>
      <c r="C3072" s="17">
        <v>44746</v>
      </c>
      <c r="D3072" s="4">
        <v>56</v>
      </c>
      <c r="E3072" t="str">
        <f t="shared" si="47"/>
        <v>1214-234334-44746</v>
      </c>
    </row>
    <row r="3073" spans="1:5" ht="14.25" customHeight="1">
      <c r="A3073" s="4">
        <v>1214</v>
      </c>
      <c r="B3073" s="4">
        <v>234334</v>
      </c>
      <c r="C3073" s="17">
        <v>44753</v>
      </c>
      <c r="D3073" s="4">
        <v>78</v>
      </c>
      <c r="E3073" t="str">
        <f t="shared" si="47"/>
        <v>1214-234334-44753</v>
      </c>
    </row>
    <row r="3074" spans="1:5" ht="14.25" customHeight="1">
      <c r="A3074" s="4">
        <v>1214</v>
      </c>
      <c r="B3074" s="4">
        <v>234334</v>
      </c>
      <c r="C3074" s="17">
        <v>44760</v>
      </c>
      <c r="D3074" s="4">
        <v>66</v>
      </c>
      <c r="E3074" t="str">
        <f t="shared" si="47"/>
        <v>1214-234334-44760</v>
      </c>
    </row>
    <row r="3075" spans="1:5" ht="14.25" customHeight="1">
      <c r="A3075" s="4">
        <v>1214</v>
      </c>
      <c r="B3075" s="4">
        <v>234334</v>
      </c>
      <c r="C3075" s="17">
        <v>44767</v>
      </c>
      <c r="D3075" s="4">
        <v>66</v>
      </c>
      <c r="E3075" t="str">
        <f t="shared" ref="E3075:E3138" si="48">A3075&amp;"-"&amp;B3075&amp;"-"&amp;INT(C3075)</f>
        <v>1214-234334-44767</v>
      </c>
    </row>
    <row r="3076" spans="1:5" ht="14.25" customHeight="1">
      <c r="A3076" s="4">
        <v>1214</v>
      </c>
      <c r="B3076" s="4">
        <v>234334</v>
      </c>
      <c r="C3076" s="17">
        <v>44774</v>
      </c>
      <c r="D3076" s="4">
        <v>70</v>
      </c>
      <c r="E3076" t="str">
        <f t="shared" si="48"/>
        <v>1214-234334-44774</v>
      </c>
    </row>
    <row r="3077" spans="1:5" ht="14.25" customHeight="1">
      <c r="A3077" s="4">
        <v>1214</v>
      </c>
      <c r="B3077" s="4">
        <v>234334</v>
      </c>
      <c r="C3077" s="17">
        <v>44781</v>
      </c>
      <c r="D3077" s="4">
        <v>29</v>
      </c>
      <c r="E3077" t="str">
        <f t="shared" si="48"/>
        <v>1214-234334-44781</v>
      </c>
    </row>
    <row r="3078" spans="1:5" ht="14.25" customHeight="1">
      <c r="A3078" s="4">
        <v>1214</v>
      </c>
      <c r="B3078" s="4">
        <v>234334</v>
      </c>
      <c r="C3078" s="17">
        <v>44788</v>
      </c>
      <c r="D3078" s="4">
        <v>54</v>
      </c>
      <c r="E3078" t="str">
        <f t="shared" si="48"/>
        <v>1214-234334-44788</v>
      </c>
    </row>
    <row r="3079" spans="1:5" ht="14.25" customHeight="1">
      <c r="A3079" s="4">
        <v>1214</v>
      </c>
      <c r="B3079" s="4">
        <v>249444</v>
      </c>
      <c r="C3079" s="17">
        <v>44739</v>
      </c>
      <c r="D3079" s="4">
        <v>333</v>
      </c>
      <c r="E3079" t="str">
        <f t="shared" si="48"/>
        <v>1214-249444-44739</v>
      </c>
    </row>
    <row r="3080" spans="1:5" ht="14.25" customHeight="1">
      <c r="A3080" s="4">
        <v>1214</v>
      </c>
      <c r="B3080" s="4">
        <v>249444</v>
      </c>
      <c r="C3080" s="17">
        <v>44746</v>
      </c>
      <c r="D3080" s="4">
        <v>150</v>
      </c>
      <c r="E3080" t="str">
        <f t="shared" si="48"/>
        <v>1214-249444-44746</v>
      </c>
    </row>
    <row r="3081" spans="1:5" ht="14.25" customHeight="1">
      <c r="A3081" s="4">
        <v>1214</v>
      </c>
      <c r="B3081" s="4">
        <v>249444</v>
      </c>
      <c r="C3081" s="17">
        <v>44753</v>
      </c>
      <c r="D3081" s="4">
        <v>330</v>
      </c>
      <c r="E3081" t="str">
        <f t="shared" si="48"/>
        <v>1214-249444-44753</v>
      </c>
    </row>
    <row r="3082" spans="1:5" ht="14.25" customHeight="1">
      <c r="A3082" s="4">
        <v>1214</v>
      </c>
      <c r="B3082" s="4">
        <v>249444</v>
      </c>
      <c r="C3082" s="17">
        <v>44760</v>
      </c>
      <c r="D3082" s="4">
        <v>445</v>
      </c>
      <c r="E3082" t="str">
        <f t="shared" si="48"/>
        <v>1214-249444-44760</v>
      </c>
    </row>
    <row r="3083" spans="1:5" ht="14.25" customHeight="1">
      <c r="A3083" s="4">
        <v>1214</v>
      </c>
      <c r="B3083" s="4">
        <v>249444</v>
      </c>
      <c r="C3083" s="17">
        <v>44767</v>
      </c>
      <c r="D3083" s="4">
        <v>252</v>
      </c>
      <c r="E3083" t="str">
        <f t="shared" si="48"/>
        <v>1214-249444-44767</v>
      </c>
    </row>
    <row r="3084" spans="1:5" ht="14.25" customHeight="1">
      <c r="A3084" s="4">
        <v>1214</v>
      </c>
      <c r="B3084" s="4">
        <v>249444</v>
      </c>
      <c r="C3084" s="17">
        <v>44774</v>
      </c>
      <c r="D3084" s="4">
        <v>342</v>
      </c>
      <c r="E3084" t="str">
        <f t="shared" si="48"/>
        <v>1214-249444-44774</v>
      </c>
    </row>
    <row r="3085" spans="1:5" ht="14.25" customHeight="1">
      <c r="A3085" s="4">
        <v>1214</v>
      </c>
      <c r="B3085" s="4">
        <v>249444</v>
      </c>
      <c r="C3085" s="17">
        <v>44781</v>
      </c>
      <c r="D3085" s="4">
        <v>110</v>
      </c>
      <c r="E3085" t="str">
        <f t="shared" si="48"/>
        <v>1214-249444-44781</v>
      </c>
    </row>
    <row r="3086" spans="1:5" ht="14.25" customHeight="1">
      <c r="A3086" s="4">
        <v>1214</v>
      </c>
      <c r="B3086" s="4">
        <v>249444</v>
      </c>
      <c r="C3086" s="17">
        <v>44788</v>
      </c>
      <c r="D3086" s="4">
        <v>114</v>
      </c>
      <c r="E3086" t="str">
        <f t="shared" si="48"/>
        <v>1214-249444-44788</v>
      </c>
    </row>
    <row r="3087" spans="1:5" ht="14.25" customHeight="1">
      <c r="A3087" s="4">
        <v>1214</v>
      </c>
      <c r="B3087" s="4">
        <v>249795</v>
      </c>
      <c r="C3087" s="17">
        <v>44739</v>
      </c>
      <c r="D3087" s="4">
        <v>84</v>
      </c>
      <c r="E3087" t="str">
        <f t="shared" si="48"/>
        <v>1214-249795-44739</v>
      </c>
    </row>
    <row r="3088" spans="1:5" ht="14.25" customHeight="1">
      <c r="A3088" s="4">
        <v>1214</v>
      </c>
      <c r="B3088" s="4">
        <v>249795</v>
      </c>
      <c r="C3088" s="17">
        <v>44746</v>
      </c>
      <c r="D3088" s="4">
        <v>21</v>
      </c>
      <c r="E3088" t="str">
        <f t="shared" si="48"/>
        <v>1214-249795-44746</v>
      </c>
    </row>
    <row r="3089" spans="1:5" ht="14.25" customHeight="1">
      <c r="A3089" s="4">
        <v>1214</v>
      </c>
      <c r="B3089" s="4">
        <v>249795</v>
      </c>
      <c r="C3089" s="17">
        <v>44753</v>
      </c>
      <c r="D3089" s="4">
        <v>25</v>
      </c>
      <c r="E3089" t="str">
        <f t="shared" si="48"/>
        <v>1214-249795-44753</v>
      </c>
    </row>
    <row r="3090" spans="1:5" ht="14.25" customHeight="1">
      <c r="A3090" s="4">
        <v>1214</v>
      </c>
      <c r="B3090" s="4">
        <v>249795</v>
      </c>
      <c r="C3090" s="17">
        <v>44760</v>
      </c>
      <c r="D3090" s="4">
        <v>33</v>
      </c>
      <c r="E3090" t="str">
        <f t="shared" si="48"/>
        <v>1214-249795-44760</v>
      </c>
    </row>
    <row r="3091" spans="1:5" ht="14.25" customHeight="1">
      <c r="A3091" s="4">
        <v>1214</v>
      </c>
      <c r="B3091" s="4">
        <v>249795</v>
      </c>
      <c r="C3091" s="17">
        <v>44767</v>
      </c>
      <c r="D3091" s="4">
        <v>109</v>
      </c>
      <c r="E3091" t="str">
        <f t="shared" si="48"/>
        <v>1214-249795-44767</v>
      </c>
    </row>
    <row r="3092" spans="1:5" ht="14.25" customHeight="1">
      <c r="A3092" s="4">
        <v>1214</v>
      </c>
      <c r="B3092" s="4">
        <v>249795</v>
      </c>
      <c r="C3092" s="17">
        <v>44774</v>
      </c>
      <c r="D3092" s="4">
        <v>63</v>
      </c>
      <c r="E3092" t="str">
        <f t="shared" si="48"/>
        <v>1214-249795-44774</v>
      </c>
    </row>
    <row r="3093" spans="1:5" ht="14.25" customHeight="1">
      <c r="A3093" s="4">
        <v>1214</v>
      </c>
      <c r="B3093" s="4">
        <v>249795</v>
      </c>
      <c r="C3093" s="17">
        <v>44781</v>
      </c>
      <c r="D3093" s="4">
        <v>21</v>
      </c>
      <c r="E3093" t="str">
        <f t="shared" si="48"/>
        <v>1214-249795-44781</v>
      </c>
    </row>
    <row r="3094" spans="1:5" ht="14.25" customHeight="1">
      <c r="A3094" s="4">
        <v>1214</v>
      </c>
      <c r="B3094" s="4">
        <v>249795</v>
      </c>
      <c r="C3094" s="17">
        <v>44788</v>
      </c>
      <c r="D3094" s="4">
        <v>65</v>
      </c>
      <c r="E3094" t="str">
        <f t="shared" si="48"/>
        <v>1214-249795-44788</v>
      </c>
    </row>
    <row r="3095" spans="1:5" ht="14.25" customHeight="1">
      <c r="A3095" s="4">
        <v>1214</v>
      </c>
      <c r="B3095" s="4">
        <v>250979</v>
      </c>
      <c r="C3095" s="17">
        <v>44739</v>
      </c>
      <c r="D3095" s="4">
        <v>125</v>
      </c>
      <c r="E3095" t="str">
        <f t="shared" si="48"/>
        <v>1214-250979-44739</v>
      </c>
    </row>
    <row r="3096" spans="1:5" ht="14.25" customHeight="1">
      <c r="A3096" s="4">
        <v>1214</v>
      </c>
      <c r="B3096" s="4">
        <v>250979</v>
      </c>
      <c r="C3096" s="17">
        <v>44746</v>
      </c>
      <c r="D3096" s="4">
        <v>118</v>
      </c>
      <c r="E3096" t="str">
        <f t="shared" si="48"/>
        <v>1214-250979-44746</v>
      </c>
    </row>
    <row r="3097" spans="1:5" ht="14.25" customHeight="1">
      <c r="A3097" s="4">
        <v>1214</v>
      </c>
      <c r="B3097" s="4">
        <v>250979</v>
      </c>
      <c r="C3097" s="17">
        <v>44753</v>
      </c>
      <c r="D3097" s="4">
        <v>134</v>
      </c>
      <c r="E3097" t="str">
        <f t="shared" si="48"/>
        <v>1214-250979-44753</v>
      </c>
    </row>
    <row r="3098" spans="1:5" ht="14.25" customHeight="1">
      <c r="A3098" s="4">
        <v>1214</v>
      </c>
      <c r="B3098" s="4">
        <v>250979</v>
      </c>
      <c r="C3098" s="17">
        <v>44760</v>
      </c>
      <c r="D3098" s="4">
        <v>48</v>
      </c>
      <c r="E3098" t="str">
        <f t="shared" si="48"/>
        <v>1214-250979-44760</v>
      </c>
    </row>
    <row r="3099" spans="1:5" ht="14.25" customHeight="1">
      <c r="A3099" s="4">
        <v>1214</v>
      </c>
      <c r="B3099" s="4">
        <v>250979</v>
      </c>
      <c r="C3099" s="17">
        <v>44767</v>
      </c>
      <c r="D3099" s="4">
        <v>49</v>
      </c>
      <c r="E3099" t="str">
        <f t="shared" si="48"/>
        <v>1214-250979-44767</v>
      </c>
    </row>
    <row r="3100" spans="1:5" ht="14.25" customHeight="1">
      <c r="A3100" s="4">
        <v>1214</v>
      </c>
      <c r="B3100" s="4">
        <v>250979</v>
      </c>
      <c r="C3100" s="17">
        <v>44774</v>
      </c>
      <c r="D3100" s="4">
        <v>173</v>
      </c>
      <c r="E3100" t="str">
        <f t="shared" si="48"/>
        <v>1214-250979-44774</v>
      </c>
    </row>
    <row r="3101" spans="1:5" ht="14.25" customHeight="1">
      <c r="A3101" s="4">
        <v>1214</v>
      </c>
      <c r="B3101" s="4">
        <v>250979</v>
      </c>
      <c r="C3101" s="17">
        <v>44781</v>
      </c>
      <c r="D3101" s="4">
        <v>152</v>
      </c>
      <c r="E3101" t="str">
        <f t="shared" si="48"/>
        <v>1214-250979-44781</v>
      </c>
    </row>
    <row r="3102" spans="1:5" ht="14.25" customHeight="1">
      <c r="A3102" s="4">
        <v>1214</v>
      </c>
      <c r="B3102" s="4">
        <v>250979</v>
      </c>
      <c r="C3102" s="17">
        <v>44788</v>
      </c>
      <c r="D3102" s="4">
        <v>120</v>
      </c>
      <c r="E3102" t="str">
        <f t="shared" si="48"/>
        <v>1214-250979-44788</v>
      </c>
    </row>
    <row r="3103" spans="1:5" ht="14.25" customHeight="1">
      <c r="A3103" s="4">
        <v>1214</v>
      </c>
      <c r="B3103" s="4">
        <v>250981</v>
      </c>
      <c r="C3103" s="17">
        <v>44739</v>
      </c>
      <c r="D3103" s="4">
        <v>40</v>
      </c>
      <c r="E3103" t="str">
        <f t="shared" si="48"/>
        <v>1214-250981-44739</v>
      </c>
    </row>
    <row r="3104" spans="1:5" ht="14.25" customHeight="1">
      <c r="A3104" s="4">
        <v>1214</v>
      </c>
      <c r="B3104" s="4">
        <v>250981</v>
      </c>
      <c r="C3104" s="17">
        <v>44746</v>
      </c>
      <c r="D3104" s="4">
        <v>53</v>
      </c>
      <c r="E3104" t="str">
        <f t="shared" si="48"/>
        <v>1214-250981-44746</v>
      </c>
    </row>
    <row r="3105" spans="1:5" ht="14.25" customHeight="1">
      <c r="A3105" s="4">
        <v>1214</v>
      </c>
      <c r="B3105" s="4">
        <v>250981</v>
      </c>
      <c r="C3105" s="17">
        <v>44753</v>
      </c>
      <c r="D3105" s="4">
        <v>13</v>
      </c>
      <c r="E3105" t="str">
        <f t="shared" si="48"/>
        <v>1214-250981-44753</v>
      </c>
    </row>
    <row r="3106" spans="1:5" ht="14.25" customHeight="1">
      <c r="A3106" s="4">
        <v>1214</v>
      </c>
      <c r="B3106" s="4">
        <v>250981</v>
      </c>
      <c r="C3106" s="17">
        <v>44760</v>
      </c>
      <c r="D3106" s="4">
        <v>11</v>
      </c>
      <c r="E3106" t="str">
        <f t="shared" si="48"/>
        <v>1214-250981-44760</v>
      </c>
    </row>
    <row r="3107" spans="1:5" ht="14.25" customHeight="1">
      <c r="A3107" s="4">
        <v>1214</v>
      </c>
      <c r="B3107" s="4">
        <v>250981</v>
      </c>
      <c r="C3107" s="17">
        <v>44767</v>
      </c>
      <c r="D3107" s="4">
        <v>45</v>
      </c>
      <c r="E3107" t="str">
        <f t="shared" si="48"/>
        <v>1214-250981-44767</v>
      </c>
    </row>
    <row r="3108" spans="1:5" ht="14.25" customHeight="1">
      <c r="A3108" s="4">
        <v>1214</v>
      </c>
      <c r="B3108" s="4">
        <v>250981</v>
      </c>
      <c r="C3108" s="17">
        <v>44774</v>
      </c>
      <c r="D3108" s="4">
        <v>50</v>
      </c>
      <c r="E3108" t="str">
        <f t="shared" si="48"/>
        <v>1214-250981-44774</v>
      </c>
    </row>
    <row r="3109" spans="1:5" ht="14.25" customHeight="1">
      <c r="A3109" s="4">
        <v>1214</v>
      </c>
      <c r="B3109" s="4">
        <v>250981</v>
      </c>
      <c r="C3109" s="17">
        <v>44781</v>
      </c>
      <c r="D3109" s="4">
        <v>13</v>
      </c>
      <c r="E3109" t="str">
        <f t="shared" si="48"/>
        <v>1214-250981-44781</v>
      </c>
    </row>
    <row r="3110" spans="1:5" ht="14.25" customHeight="1">
      <c r="A3110" s="4">
        <v>1214</v>
      </c>
      <c r="B3110" s="4">
        <v>250981</v>
      </c>
      <c r="C3110" s="17">
        <v>44788</v>
      </c>
      <c r="D3110" s="4">
        <v>10</v>
      </c>
      <c r="E3110" t="str">
        <f t="shared" si="48"/>
        <v>1214-250981-44788</v>
      </c>
    </row>
    <row r="3111" spans="1:5" ht="14.25" customHeight="1">
      <c r="A3111" s="4">
        <v>1214</v>
      </c>
      <c r="B3111" s="4">
        <v>262294</v>
      </c>
      <c r="C3111" s="17">
        <v>44739</v>
      </c>
      <c r="D3111" s="4">
        <v>44</v>
      </c>
      <c r="E3111" t="str">
        <f t="shared" si="48"/>
        <v>1214-262294-44739</v>
      </c>
    </row>
    <row r="3112" spans="1:5" ht="14.25" customHeight="1">
      <c r="A3112" s="4">
        <v>1214</v>
      </c>
      <c r="B3112" s="4">
        <v>262294</v>
      </c>
      <c r="C3112" s="17">
        <v>44746</v>
      </c>
      <c r="D3112" s="4">
        <v>17</v>
      </c>
      <c r="E3112" t="str">
        <f t="shared" si="48"/>
        <v>1214-262294-44746</v>
      </c>
    </row>
    <row r="3113" spans="1:5" ht="14.25" customHeight="1">
      <c r="A3113" s="4">
        <v>1214</v>
      </c>
      <c r="B3113" s="4">
        <v>262294</v>
      </c>
      <c r="C3113" s="17">
        <v>44753</v>
      </c>
      <c r="D3113" s="4">
        <v>20</v>
      </c>
      <c r="E3113" t="str">
        <f t="shared" si="48"/>
        <v>1214-262294-44753</v>
      </c>
    </row>
    <row r="3114" spans="1:5" ht="14.25" customHeight="1">
      <c r="A3114" s="4">
        <v>1214</v>
      </c>
      <c r="B3114" s="4">
        <v>262294</v>
      </c>
      <c r="C3114" s="17">
        <v>44760</v>
      </c>
      <c r="D3114" s="4">
        <v>17</v>
      </c>
      <c r="E3114" t="str">
        <f t="shared" si="48"/>
        <v>1214-262294-44760</v>
      </c>
    </row>
    <row r="3115" spans="1:5" ht="14.25" customHeight="1">
      <c r="A3115" s="4">
        <v>1214</v>
      </c>
      <c r="B3115" s="4">
        <v>262294</v>
      </c>
      <c r="C3115" s="17">
        <v>44767</v>
      </c>
      <c r="D3115" s="4">
        <v>42</v>
      </c>
      <c r="E3115" t="str">
        <f t="shared" si="48"/>
        <v>1214-262294-44767</v>
      </c>
    </row>
    <row r="3116" spans="1:5" ht="14.25" customHeight="1">
      <c r="A3116" s="4">
        <v>1214</v>
      </c>
      <c r="B3116" s="4">
        <v>262294</v>
      </c>
      <c r="C3116" s="17">
        <v>44774</v>
      </c>
      <c r="D3116" s="4">
        <v>47</v>
      </c>
      <c r="E3116" t="str">
        <f t="shared" si="48"/>
        <v>1214-262294-44774</v>
      </c>
    </row>
    <row r="3117" spans="1:5" ht="14.25" customHeight="1">
      <c r="A3117" s="4">
        <v>1214</v>
      </c>
      <c r="B3117" s="4">
        <v>262294</v>
      </c>
      <c r="C3117" s="17">
        <v>44781</v>
      </c>
      <c r="D3117" s="4">
        <v>39</v>
      </c>
      <c r="E3117" t="str">
        <f t="shared" si="48"/>
        <v>1214-262294-44781</v>
      </c>
    </row>
    <row r="3118" spans="1:5" ht="14.25" customHeight="1">
      <c r="A3118" s="4">
        <v>1214</v>
      </c>
      <c r="B3118" s="4">
        <v>262294</v>
      </c>
      <c r="C3118" s="17">
        <v>44788</v>
      </c>
      <c r="D3118" s="4">
        <v>37</v>
      </c>
      <c r="E3118" t="str">
        <f t="shared" si="48"/>
        <v>1214-262294-44788</v>
      </c>
    </row>
    <row r="3119" spans="1:5" ht="14.25" customHeight="1">
      <c r="A3119" s="4">
        <v>1214</v>
      </c>
      <c r="B3119" s="4">
        <v>268831</v>
      </c>
      <c r="C3119" s="17">
        <v>44739</v>
      </c>
      <c r="D3119" s="4">
        <v>646</v>
      </c>
      <c r="E3119" t="str">
        <f t="shared" si="48"/>
        <v>1214-268831-44739</v>
      </c>
    </row>
    <row r="3120" spans="1:5" ht="14.25" customHeight="1">
      <c r="A3120" s="4">
        <v>1214</v>
      </c>
      <c r="B3120" s="4">
        <v>268831</v>
      </c>
      <c r="C3120" s="17">
        <v>44746</v>
      </c>
      <c r="D3120" s="4">
        <v>153</v>
      </c>
      <c r="E3120" t="str">
        <f t="shared" si="48"/>
        <v>1214-268831-44746</v>
      </c>
    </row>
    <row r="3121" spans="1:5" ht="14.25" customHeight="1">
      <c r="A3121" s="4">
        <v>1214</v>
      </c>
      <c r="B3121" s="4">
        <v>268831</v>
      </c>
      <c r="C3121" s="17">
        <v>44753</v>
      </c>
      <c r="D3121" s="4">
        <v>149</v>
      </c>
      <c r="E3121" t="str">
        <f t="shared" si="48"/>
        <v>1214-268831-44753</v>
      </c>
    </row>
    <row r="3122" spans="1:5" ht="14.25" customHeight="1">
      <c r="A3122" s="4">
        <v>1214</v>
      </c>
      <c r="B3122" s="4">
        <v>268831</v>
      </c>
      <c r="C3122" s="17">
        <v>44760</v>
      </c>
      <c r="D3122" s="4">
        <v>717</v>
      </c>
      <c r="E3122" t="str">
        <f t="shared" si="48"/>
        <v>1214-268831-44760</v>
      </c>
    </row>
    <row r="3123" spans="1:5" ht="14.25" customHeight="1">
      <c r="A3123" s="4">
        <v>1214</v>
      </c>
      <c r="B3123" s="4">
        <v>268831</v>
      </c>
      <c r="C3123" s="17">
        <v>44767</v>
      </c>
      <c r="D3123" s="4">
        <v>204</v>
      </c>
      <c r="E3123" t="str">
        <f t="shared" si="48"/>
        <v>1214-268831-44767</v>
      </c>
    </row>
    <row r="3124" spans="1:5" ht="14.25" customHeight="1">
      <c r="A3124" s="4">
        <v>1214</v>
      </c>
      <c r="B3124" s="4">
        <v>268831</v>
      </c>
      <c r="C3124" s="17">
        <v>44774</v>
      </c>
      <c r="D3124" s="4">
        <v>642</v>
      </c>
      <c r="E3124" t="str">
        <f t="shared" si="48"/>
        <v>1214-268831-44774</v>
      </c>
    </row>
    <row r="3125" spans="1:5" ht="14.25" customHeight="1">
      <c r="A3125" s="4">
        <v>1214</v>
      </c>
      <c r="B3125" s="4">
        <v>268831</v>
      </c>
      <c r="C3125" s="17">
        <v>44781</v>
      </c>
      <c r="D3125" s="4">
        <v>462</v>
      </c>
      <c r="E3125" t="str">
        <f t="shared" si="48"/>
        <v>1214-268831-44781</v>
      </c>
    </row>
    <row r="3126" spans="1:5" ht="14.25" customHeight="1">
      <c r="A3126" s="4">
        <v>1214</v>
      </c>
      <c r="B3126" s="4">
        <v>268831</v>
      </c>
      <c r="C3126" s="17">
        <v>44788</v>
      </c>
      <c r="D3126" s="4">
        <v>191</v>
      </c>
      <c r="E3126" t="str">
        <f t="shared" si="48"/>
        <v>1214-268831-44788</v>
      </c>
    </row>
    <row r="3127" spans="1:5" ht="14.25" customHeight="1">
      <c r="A3127" s="4">
        <v>1214</v>
      </c>
      <c r="B3127" s="4">
        <v>273701</v>
      </c>
      <c r="C3127" s="17">
        <v>44739</v>
      </c>
      <c r="D3127" s="4">
        <v>42</v>
      </c>
      <c r="E3127" t="str">
        <f t="shared" si="48"/>
        <v>1214-273701-44739</v>
      </c>
    </row>
    <row r="3128" spans="1:5" ht="14.25" customHeight="1">
      <c r="A3128" s="4">
        <v>1214</v>
      </c>
      <c r="B3128" s="4">
        <v>273701</v>
      </c>
      <c r="C3128" s="17">
        <v>44746</v>
      </c>
      <c r="D3128" s="4">
        <v>28</v>
      </c>
      <c r="E3128" t="str">
        <f t="shared" si="48"/>
        <v>1214-273701-44746</v>
      </c>
    </row>
    <row r="3129" spans="1:5" ht="14.25" customHeight="1">
      <c r="A3129" s="4">
        <v>1214</v>
      </c>
      <c r="B3129" s="4">
        <v>273701</v>
      </c>
      <c r="C3129" s="17">
        <v>44753</v>
      </c>
      <c r="D3129" s="4">
        <v>23</v>
      </c>
      <c r="E3129" t="str">
        <f t="shared" si="48"/>
        <v>1214-273701-44753</v>
      </c>
    </row>
    <row r="3130" spans="1:5" ht="14.25" customHeight="1">
      <c r="A3130" s="4">
        <v>1214</v>
      </c>
      <c r="B3130" s="4">
        <v>273701</v>
      </c>
      <c r="C3130" s="17">
        <v>44760</v>
      </c>
      <c r="D3130" s="4">
        <v>50</v>
      </c>
      <c r="E3130" t="str">
        <f t="shared" si="48"/>
        <v>1214-273701-44760</v>
      </c>
    </row>
    <row r="3131" spans="1:5" ht="14.25" customHeight="1">
      <c r="A3131" s="4">
        <v>1214</v>
      </c>
      <c r="B3131" s="4">
        <v>273701</v>
      </c>
      <c r="C3131" s="17">
        <v>44767</v>
      </c>
      <c r="D3131" s="4">
        <v>33</v>
      </c>
      <c r="E3131" t="str">
        <f t="shared" si="48"/>
        <v>1214-273701-44767</v>
      </c>
    </row>
    <row r="3132" spans="1:5" ht="14.25" customHeight="1">
      <c r="A3132" s="4">
        <v>1214</v>
      </c>
      <c r="B3132" s="4">
        <v>273701</v>
      </c>
      <c r="C3132" s="17">
        <v>44774</v>
      </c>
      <c r="D3132" s="4">
        <v>48</v>
      </c>
      <c r="E3132" t="str">
        <f t="shared" si="48"/>
        <v>1214-273701-44774</v>
      </c>
    </row>
    <row r="3133" spans="1:5" ht="14.25" customHeight="1">
      <c r="A3133" s="4">
        <v>1214</v>
      </c>
      <c r="B3133" s="4">
        <v>273701</v>
      </c>
      <c r="C3133" s="17">
        <v>44781</v>
      </c>
      <c r="D3133" s="4">
        <v>52</v>
      </c>
      <c r="E3133" t="str">
        <f t="shared" si="48"/>
        <v>1214-273701-44781</v>
      </c>
    </row>
    <row r="3134" spans="1:5" ht="14.25" customHeight="1">
      <c r="A3134" s="4">
        <v>1214</v>
      </c>
      <c r="B3134" s="4">
        <v>273701</v>
      </c>
      <c r="C3134" s="17">
        <v>44788</v>
      </c>
      <c r="D3134" s="4">
        <v>48</v>
      </c>
      <c r="E3134" t="str">
        <f t="shared" si="48"/>
        <v>1214-273701-44788</v>
      </c>
    </row>
    <row r="3135" spans="1:5" ht="14.25" customHeight="1">
      <c r="A3135" s="4">
        <v>1214</v>
      </c>
      <c r="B3135" s="4">
        <v>291726</v>
      </c>
      <c r="C3135" s="17">
        <v>44739</v>
      </c>
      <c r="D3135" s="4">
        <v>5</v>
      </c>
      <c r="E3135" t="str">
        <f t="shared" si="48"/>
        <v>1214-291726-44739</v>
      </c>
    </row>
    <row r="3136" spans="1:5" ht="14.25" customHeight="1">
      <c r="A3136" s="4">
        <v>1214</v>
      </c>
      <c r="B3136" s="4">
        <v>291726</v>
      </c>
      <c r="C3136" s="17">
        <v>44746</v>
      </c>
      <c r="D3136" s="4">
        <v>33</v>
      </c>
      <c r="E3136" t="str">
        <f t="shared" si="48"/>
        <v>1214-291726-44746</v>
      </c>
    </row>
    <row r="3137" spans="1:5" ht="14.25" customHeight="1">
      <c r="A3137" s="4">
        <v>1214</v>
      </c>
      <c r="B3137" s="4">
        <v>291726</v>
      </c>
      <c r="C3137" s="17">
        <v>44753</v>
      </c>
      <c r="D3137" s="4">
        <v>46</v>
      </c>
      <c r="E3137" t="str">
        <f t="shared" si="48"/>
        <v>1214-291726-44753</v>
      </c>
    </row>
    <row r="3138" spans="1:5" ht="14.25" customHeight="1">
      <c r="A3138" s="4">
        <v>1214</v>
      </c>
      <c r="B3138" s="4">
        <v>291726</v>
      </c>
      <c r="C3138" s="17">
        <v>44760</v>
      </c>
      <c r="D3138" s="4">
        <v>33</v>
      </c>
      <c r="E3138" t="str">
        <f t="shared" si="48"/>
        <v>1214-291726-44760</v>
      </c>
    </row>
    <row r="3139" spans="1:5" ht="14.25" customHeight="1">
      <c r="A3139" s="4">
        <v>1214</v>
      </c>
      <c r="B3139" s="4">
        <v>291726</v>
      </c>
      <c r="C3139" s="17">
        <v>44767</v>
      </c>
      <c r="D3139" s="4">
        <v>27</v>
      </c>
      <c r="E3139" t="str">
        <f t="shared" ref="E3139:E3202" si="49">A3139&amp;"-"&amp;B3139&amp;"-"&amp;INT(C3139)</f>
        <v>1214-291726-44767</v>
      </c>
    </row>
    <row r="3140" spans="1:5" ht="14.25" customHeight="1">
      <c r="A3140" s="4">
        <v>1214</v>
      </c>
      <c r="B3140" s="4">
        <v>291726</v>
      </c>
      <c r="C3140" s="17">
        <v>44774</v>
      </c>
      <c r="D3140" s="4">
        <v>33</v>
      </c>
      <c r="E3140" t="str">
        <f t="shared" si="49"/>
        <v>1214-291726-44774</v>
      </c>
    </row>
    <row r="3141" spans="1:5" ht="14.25" customHeight="1">
      <c r="A3141" s="4">
        <v>1214</v>
      </c>
      <c r="B3141" s="4">
        <v>291726</v>
      </c>
      <c r="C3141" s="17">
        <v>44781</v>
      </c>
      <c r="D3141" s="4">
        <v>7</v>
      </c>
      <c r="E3141" t="str">
        <f t="shared" si="49"/>
        <v>1214-291726-44781</v>
      </c>
    </row>
    <row r="3142" spans="1:5" ht="14.25" customHeight="1">
      <c r="A3142" s="4">
        <v>1214</v>
      </c>
      <c r="B3142" s="4">
        <v>291726</v>
      </c>
      <c r="C3142" s="17">
        <v>44788</v>
      </c>
      <c r="D3142" s="4">
        <v>33</v>
      </c>
      <c r="E3142" t="str">
        <f t="shared" si="49"/>
        <v>1214-291726-44788</v>
      </c>
    </row>
    <row r="3143" spans="1:5" ht="14.25" customHeight="1">
      <c r="A3143" s="4">
        <v>1214</v>
      </c>
      <c r="B3143" s="4">
        <v>291728</v>
      </c>
      <c r="C3143" s="17">
        <v>44739</v>
      </c>
      <c r="D3143" s="4">
        <v>26</v>
      </c>
      <c r="E3143" t="str">
        <f t="shared" si="49"/>
        <v>1214-291728-44739</v>
      </c>
    </row>
    <row r="3144" spans="1:5" ht="14.25" customHeight="1">
      <c r="A3144" s="4">
        <v>1214</v>
      </c>
      <c r="B3144" s="4">
        <v>291728</v>
      </c>
      <c r="C3144" s="17">
        <v>44746</v>
      </c>
      <c r="D3144" s="4">
        <v>33</v>
      </c>
      <c r="E3144" t="str">
        <f t="shared" si="49"/>
        <v>1214-291728-44746</v>
      </c>
    </row>
    <row r="3145" spans="1:5" ht="14.25" customHeight="1">
      <c r="A3145" s="4">
        <v>1214</v>
      </c>
      <c r="B3145" s="4">
        <v>291728</v>
      </c>
      <c r="C3145" s="17">
        <v>44753</v>
      </c>
      <c r="D3145" s="4">
        <v>27</v>
      </c>
      <c r="E3145" t="str">
        <f t="shared" si="49"/>
        <v>1214-291728-44753</v>
      </c>
    </row>
    <row r="3146" spans="1:5" ht="14.25" customHeight="1">
      <c r="A3146" s="4">
        <v>1214</v>
      </c>
      <c r="B3146" s="4">
        <v>291728</v>
      </c>
      <c r="C3146" s="17">
        <v>44760</v>
      </c>
      <c r="D3146" s="4">
        <v>31</v>
      </c>
      <c r="E3146" t="str">
        <f t="shared" si="49"/>
        <v>1214-291728-44760</v>
      </c>
    </row>
    <row r="3147" spans="1:5" ht="14.25" customHeight="1">
      <c r="A3147" s="4">
        <v>1214</v>
      </c>
      <c r="B3147" s="4">
        <v>291728</v>
      </c>
      <c r="C3147" s="17">
        <v>44767</v>
      </c>
      <c r="D3147" s="4">
        <v>14</v>
      </c>
      <c r="E3147" t="str">
        <f t="shared" si="49"/>
        <v>1214-291728-44767</v>
      </c>
    </row>
    <row r="3148" spans="1:5" ht="14.25" customHeight="1">
      <c r="A3148" s="4">
        <v>1214</v>
      </c>
      <c r="B3148" s="4">
        <v>291728</v>
      </c>
      <c r="C3148" s="17">
        <v>44774</v>
      </c>
      <c r="D3148" s="4">
        <v>29</v>
      </c>
      <c r="E3148" t="str">
        <f t="shared" si="49"/>
        <v>1214-291728-44774</v>
      </c>
    </row>
    <row r="3149" spans="1:5" ht="14.25" customHeight="1">
      <c r="A3149" s="4">
        <v>1214</v>
      </c>
      <c r="B3149" s="4">
        <v>291728</v>
      </c>
      <c r="C3149" s="17">
        <v>44781</v>
      </c>
      <c r="D3149" s="4">
        <v>24</v>
      </c>
      <c r="E3149" t="str">
        <f t="shared" si="49"/>
        <v>1214-291728-44781</v>
      </c>
    </row>
    <row r="3150" spans="1:5" ht="14.25" customHeight="1">
      <c r="A3150" s="4">
        <v>1214</v>
      </c>
      <c r="B3150" s="4">
        <v>291728</v>
      </c>
      <c r="C3150" s="17">
        <v>44788</v>
      </c>
      <c r="D3150" s="4">
        <v>27</v>
      </c>
      <c r="E3150" t="str">
        <f t="shared" si="49"/>
        <v>1214-291728-44788</v>
      </c>
    </row>
    <row r="3151" spans="1:5" ht="14.25" customHeight="1">
      <c r="A3151" s="4">
        <v>1214</v>
      </c>
      <c r="B3151" s="4">
        <v>300380</v>
      </c>
      <c r="C3151" s="17">
        <v>44739</v>
      </c>
      <c r="D3151" s="4">
        <v>56</v>
      </c>
      <c r="E3151" t="str">
        <f t="shared" si="49"/>
        <v>1214-300380-44739</v>
      </c>
    </row>
    <row r="3152" spans="1:5" ht="14.25" customHeight="1">
      <c r="A3152" s="4">
        <v>1214</v>
      </c>
      <c r="B3152" s="4">
        <v>300380</v>
      </c>
      <c r="C3152" s="17">
        <v>44746</v>
      </c>
      <c r="D3152" s="4">
        <v>56</v>
      </c>
      <c r="E3152" t="str">
        <f t="shared" si="49"/>
        <v>1214-300380-44746</v>
      </c>
    </row>
    <row r="3153" spans="1:5" ht="14.25" customHeight="1">
      <c r="A3153" s="4">
        <v>1214</v>
      </c>
      <c r="B3153" s="4">
        <v>300380</v>
      </c>
      <c r="C3153" s="17">
        <v>44753</v>
      </c>
      <c r="D3153" s="4">
        <v>55</v>
      </c>
      <c r="E3153" t="str">
        <f t="shared" si="49"/>
        <v>1214-300380-44753</v>
      </c>
    </row>
    <row r="3154" spans="1:5" ht="14.25" customHeight="1">
      <c r="A3154" s="4">
        <v>1214</v>
      </c>
      <c r="B3154" s="4">
        <v>300380</v>
      </c>
      <c r="C3154" s="17">
        <v>44760</v>
      </c>
      <c r="D3154" s="4">
        <v>56</v>
      </c>
      <c r="E3154" t="str">
        <f t="shared" si="49"/>
        <v>1214-300380-44760</v>
      </c>
    </row>
    <row r="3155" spans="1:5" ht="14.25" customHeight="1">
      <c r="A3155" s="4">
        <v>1214</v>
      </c>
      <c r="B3155" s="4">
        <v>300380</v>
      </c>
      <c r="C3155" s="17">
        <v>44767</v>
      </c>
      <c r="D3155" s="4">
        <v>56</v>
      </c>
      <c r="E3155" t="str">
        <f t="shared" si="49"/>
        <v>1214-300380-44767</v>
      </c>
    </row>
    <row r="3156" spans="1:5" ht="14.25" customHeight="1">
      <c r="A3156" s="4">
        <v>1214</v>
      </c>
      <c r="B3156" s="4">
        <v>300380</v>
      </c>
      <c r="C3156" s="17">
        <v>44774</v>
      </c>
      <c r="D3156" s="4">
        <v>56</v>
      </c>
      <c r="E3156" t="str">
        <f t="shared" si="49"/>
        <v>1214-300380-44774</v>
      </c>
    </row>
    <row r="3157" spans="1:5" ht="14.25" customHeight="1">
      <c r="A3157" s="4">
        <v>1214</v>
      </c>
      <c r="B3157" s="4">
        <v>300380</v>
      </c>
      <c r="C3157" s="17">
        <v>44781</v>
      </c>
      <c r="D3157" s="4">
        <v>54</v>
      </c>
      <c r="E3157" t="str">
        <f t="shared" si="49"/>
        <v>1214-300380-44781</v>
      </c>
    </row>
    <row r="3158" spans="1:5" ht="14.25" customHeight="1">
      <c r="A3158" s="4">
        <v>1214</v>
      </c>
      <c r="B3158" s="4">
        <v>300380</v>
      </c>
      <c r="C3158" s="17">
        <v>44788</v>
      </c>
      <c r="D3158" s="4">
        <v>56</v>
      </c>
      <c r="E3158" t="str">
        <f t="shared" si="49"/>
        <v>1214-300380-44788</v>
      </c>
    </row>
    <row r="3159" spans="1:5" ht="14.25" customHeight="1">
      <c r="A3159" s="4">
        <v>1214</v>
      </c>
      <c r="B3159" s="4">
        <v>571521</v>
      </c>
      <c r="C3159" s="17">
        <v>44739</v>
      </c>
      <c r="D3159" s="4">
        <v>28</v>
      </c>
      <c r="E3159" t="str">
        <f t="shared" si="49"/>
        <v>1214-571521-44739</v>
      </c>
    </row>
    <row r="3160" spans="1:5" ht="14.25" customHeight="1">
      <c r="A3160" s="4">
        <v>1214</v>
      </c>
      <c r="B3160" s="4">
        <v>571521</v>
      </c>
      <c r="C3160" s="17">
        <v>44746</v>
      </c>
      <c r="D3160" s="4">
        <v>69</v>
      </c>
      <c r="E3160" t="str">
        <f t="shared" si="49"/>
        <v>1214-571521-44746</v>
      </c>
    </row>
    <row r="3161" spans="1:5" ht="14.25" customHeight="1">
      <c r="A3161" s="4">
        <v>1214</v>
      </c>
      <c r="B3161" s="4">
        <v>571521</v>
      </c>
      <c r="C3161" s="17">
        <v>44753</v>
      </c>
      <c r="D3161" s="4">
        <v>56</v>
      </c>
      <c r="E3161" t="str">
        <f t="shared" si="49"/>
        <v>1214-571521-44753</v>
      </c>
    </row>
    <row r="3162" spans="1:5" ht="14.25" customHeight="1">
      <c r="A3162" s="4">
        <v>1214</v>
      </c>
      <c r="B3162" s="4">
        <v>571521</v>
      </c>
      <c r="C3162" s="17">
        <v>44760</v>
      </c>
      <c r="D3162" s="4">
        <v>25</v>
      </c>
      <c r="E3162" t="str">
        <f t="shared" si="49"/>
        <v>1214-571521-44760</v>
      </c>
    </row>
    <row r="3163" spans="1:5" ht="14.25" customHeight="1">
      <c r="A3163" s="4">
        <v>1214</v>
      </c>
      <c r="B3163" s="4">
        <v>571521</v>
      </c>
      <c r="C3163" s="17">
        <v>44767</v>
      </c>
      <c r="D3163" s="4">
        <v>59</v>
      </c>
      <c r="E3163" t="str">
        <f t="shared" si="49"/>
        <v>1214-571521-44767</v>
      </c>
    </row>
    <row r="3164" spans="1:5" ht="14.25" customHeight="1">
      <c r="A3164" s="4">
        <v>1214</v>
      </c>
      <c r="B3164" s="4">
        <v>571521</v>
      </c>
      <c r="C3164" s="17">
        <v>44774</v>
      </c>
      <c r="D3164" s="4">
        <v>18</v>
      </c>
      <c r="E3164" t="str">
        <f t="shared" si="49"/>
        <v>1214-571521-44774</v>
      </c>
    </row>
    <row r="3165" spans="1:5" ht="14.25" customHeight="1">
      <c r="A3165" s="4">
        <v>1214</v>
      </c>
      <c r="B3165" s="4">
        <v>571521</v>
      </c>
      <c r="C3165" s="17">
        <v>44781</v>
      </c>
      <c r="D3165" s="4">
        <v>25</v>
      </c>
      <c r="E3165" t="str">
        <f t="shared" si="49"/>
        <v>1214-571521-44781</v>
      </c>
    </row>
    <row r="3166" spans="1:5" ht="14.25" customHeight="1">
      <c r="A3166" s="4">
        <v>1214</v>
      </c>
      <c r="B3166" s="4">
        <v>571521</v>
      </c>
      <c r="C3166" s="17">
        <v>44788</v>
      </c>
      <c r="D3166" s="4">
        <v>67</v>
      </c>
      <c r="E3166" t="str">
        <f t="shared" si="49"/>
        <v>1214-571521-44788</v>
      </c>
    </row>
    <row r="3167" spans="1:5" ht="14.25" customHeight="1">
      <c r="A3167" s="4">
        <v>1214</v>
      </c>
      <c r="B3167" s="4">
        <v>614993</v>
      </c>
      <c r="C3167" s="17">
        <v>44739</v>
      </c>
      <c r="D3167" s="4">
        <v>30</v>
      </c>
      <c r="E3167" t="str">
        <f t="shared" si="49"/>
        <v>1214-614993-44739</v>
      </c>
    </row>
    <row r="3168" spans="1:5" ht="14.25" customHeight="1">
      <c r="A3168" s="4">
        <v>1214</v>
      </c>
      <c r="B3168" s="4">
        <v>614993</v>
      </c>
      <c r="C3168" s="17">
        <v>44746</v>
      </c>
      <c r="D3168" s="4">
        <v>59</v>
      </c>
      <c r="E3168" t="str">
        <f t="shared" si="49"/>
        <v>1214-614993-44746</v>
      </c>
    </row>
    <row r="3169" spans="1:5" ht="14.25" customHeight="1">
      <c r="A3169" s="4">
        <v>1214</v>
      </c>
      <c r="B3169" s="4">
        <v>614993</v>
      </c>
      <c r="C3169" s="17">
        <v>44753</v>
      </c>
      <c r="D3169" s="4">
        <v>48</v>
      </c>
      <c r="E3169" t="str">
        <f t="shared" si="49"/>
        <v>1214-614993-44753</v>
      </c>
    </row>
    <row r="3170" spans="1:5" ht="14.25" customHeight="1">
      <c r="A3170" s="4">
        <v>1214</v>
      </c>
      <c r="B3170" s="4">
        <v>614993</v>
      </c>
      <c r="C3170" s="17">
        <v>44760</v>
      </c>
      <c r="D3170" s="4">
        <v>44</v>
      </c>
      <c r="E3170" t="str">
        <f t="shared" si="49"/>
        <v>1214-614993-44760</v>
      </c>
    </row>
    <row r="3171" spans="1:5" ht="14.25" customHeight="1">
      <c r="A3171" s="4">
        <v>1214</v>
      </c>
      <c r="B3171" s="4">
        <v>614993</v>
      </c>
      <c r="C3171" s="17">
        <v>44767</v>
      </c>
      <c r="D3171" s="4">
        <v>16</v>
      </c>
      <c r="E3171" t="str">
        <f t="shared" si="49"/>
        <v>1214-614993-44767</v>
      </c>
    </row>
    <row r="3172" spans="1:5" ht="14.25" customHeight="1">
      <c r="A3172" s="4">
        <v>1214</v>
      </c>
      <c r="B3172" s="4">
        <v>614993</v>
      </c>
      <c r="C3172" s="17">
        <v>44774</v>
      </c>
      <c r="D3172" s="4">
        <v>61</v>
      </c>
      <c r="E3172" t="str">
        <f t="shared" si="49"/>
        <v>1214-614993-44774</v>
      </c>
    </row>
    <row r="3173" spans="1:5" ht="14.25" customHeight="1">
      <c r="A3173" s="4">
        <v>1214</v>
      </c>
      <c r="B3173" s="4">
        <v>614993</v>
      </c>
      <c r="C3173" s="17">
        <v>44781</v>
      </c>
      <c r="D3173" s="4">
        <v>30</v>
      </c>
      <c r="E3173" t="str">
        <f t="shared" si="49"/>
        <v>1214-614993-44781</v>
      </c>
    </row>
    <row r="3174" spans="1:5" ht="14.25" customHeight="1">
      <c r="A3174" s="4">
        <v>1214</v>
      </c>
      <c r="B3174" s="4">
        <v>614993</v>
      </c>
      <c r="C3174" s="17">
        <v>44788</v>
      </c>
      <c r="D3174" s="4">
        <v>48</v>
      </c>
      <c r="E3174" t="str">
        <f t="shared" si="49"/>
        <v>1214-614993-44788</v>
      </c>
    </row>
    <row r="3175" spans="1:5" ht="14.25" customHeight="1">
      <c r="A3175" s="4">
        <v>1216</v>
      </c>
      <c r="B3175" s="4">
        <v>23393</v>
      </c>
      <c r="C3175" s="17">
        <v>32874</v>
      </c>
      <c r="D3175" s="4">
        <v>196</v>
      </c>
      <c r="E3175" t="str">
        <f t="shared" si="49"/>
        <v>1216-23393-32874</v>
      </c>
    </row>
    <row r="3176" spans="1:5" ht="14.25" customHeight="1">
      <c r="A3176" s="4">
        <v>1216</v>
      </c>
      <c r="B3176" s="4">
        <v>23393</v>
      </c>
      <c r="C3176" s="17">
        <v>44739</v>
      </c>
      <c r="D3176" s="4">
        <v>131</v>
      </c>
      <c r="E3176" t="str">
        <f t="shared" si="49"/>
        <v>1216-23393-44739</v>
      </c>
    </row>
    <row r="3177" spans="1:5" ht="14.25" customHeight="1">
      <c r="A3177" s="4">
        <v>1216</v>
      </c>
      <c r="B3177" s="4">
        <v>23393</v>
      </c>
      <c r="C3177" s="17">
        <v>44746</v>
      </c>
      <c r="D3177" s="4">
        <v>137</v>
      </c>
      <c r="E3177" t="str">
        <f t="shared" si="49"/>
        <v>1216-23393-44746</v>
      </c>
    </row>
    <row r="3178" spans="1:5" ht="14.25" customHeight="1">
      <c r="A3178" s="4">
        <v>1216</v>
      </c>
      <c r="B3178" s="4">
        <v>23393</v>
      </c>
      <c r="C3178" s="17">
        <v>44753</v>
      </c>
      <c r="D3178" s="4">
        <v>235</v>
      </c>
      <c r="E3178" t="str">
        <f t="shared" si="49"/>
        <v>1216-23393-44753</v>
      </c>
    </row>
    <row r="3179" spans="1:5" ht="14.25" customHeight="1">
      <c r="A3179" s="4">
        <v>1216</v>
      </c>
      <c r="B3179" s="4">
        <v>23393</v>
      </c>
      <c r="C3179" s="17">
        <v>44760</v>
      </c>
      <c r="D3179" s="4">
        <v>182</v>
      </c>
      <c r="E3179" t="str">
        <f t="shared" si="49"/>
        <v>1216-23393-44760</v>
      </c>
    </row>
    <row r="3180" spans="1:5" ht="14.25" customHeight="1">
      <c r="A3180" s="4">
        <v>1216</v>
      </c>
      <c r="B3180" s="4">
        <v>23393</v>
      </c>
      <c r="C3180" s="17">
        <v>44767</v>
      </c>
      <c r="D3180" s="4">
        <v>208</v>
      </c>
      <c r="E3180" t="str">
        <f t="shared" si="49"/>
        <v>1216-23393-44767</v>
      </c>
    </row>
    <row r="3181" spans="1:5" ht="14.25" customHeight="1">
      <c r="A3181" s="4">
        <v>1216</v>
      </c>
      <c r="B3181" s="4">
        <v>23393</v>
      </c>
      <c r="C3181" s="17">
        <v>44774</v>
      </c>
      <c r="D3181" s="4">
        <v>243</v>
      </c>
      <c r="E3181" t="str">
        <f t="shared" si="49"/>
        <v>1216-23393-44774</v>
      </c>
    </row>
    <row r="3182" spans="1:5" ht="14.25" customHeight="1">
      <c r="A3182" s="4">
        <v>1216</v>
      </c>
      <c r="B3182" s="4">
        <v>23393</v>
      </c>
      <c r="C3182" s="17">
        <v>44781</v>
      </c>
      <c r="D3182" s="4">
        <v>130</v>
      </c>
      <c r="E3182" t="str">
        <f t="shared" si="49"/>
        <v>1216-23393-44781</v>
      </c>
    </row>
    <row r="3183" spans="1:5" ht="14.25" customHeight="1">
      <c r="A3183" s="4">
        <v>1216</v>
      </c>
      <c r="B3183" s="4">
        <v>23393</v>
      </c>
      <c r="C3183" s="17">
        <v>44788</v>
      </c>
      <c r="D3183" s="4">
        <v>225</v>
      </c>
      <c r="E3183" t="str">
        <f t="shared" si="49"/>
        <v>1216-23393-44788</v>
      </c>
    </row>
    <row r="3184" spans="1:5" ht="14.25" customHeight="1">
      <c r="A3184" s="4">
        <v>1216</v>
      </c>
      <c r="B3184" s="4">
        <v>26764</v>
      </c>
      <c r="C3184" s="17">
        <v>44739</v>
      </c>
      <c r="D3184" s="4">
        <v>59</v>
      </c>
      <c r="E3184" t="str">
        <f t="shared" si="49"/>
        <v>1216-26764-44739</v>
      </c>
    </row>
    <row r="3185" spans="1:5" ht="14.25" customHeight="1">
      <c r="A3185" s="4">
        <v>1216</v>
      </c>
      <c r="B3185" s="4">
        <v>26764</v>
      </c>
      <c r="C3185" s="17">
        <v>44746</v>
      </c>
      <c r="D3185" s="4">
        <v>65</v>
      </c>
      <c r="E3185" t="str">
        <f t="shared" si="49"/>
        <v>1216-26764-44746</v>
      </c>
    </row>
    <row r="3186" spans="1:5" ht="14.25" customHeight="1">
      <c r="A3186" s="4">
        <v>1216</v>
      </c>
      <c r="B3186" s="4">
        <v>26764</v>
      </c>
      <c r="C3186" s="17">
        <v>44753</v>
      </c>
      <c r="D3186" s="4">
        <v>38</v>
      </c>
      <c r="E3186" t="str">
        <f t="shared" si="49"/>
        <v>1216-26764-44753</v>
      </c>
    </row>
    <row r="3187" spans="1:5" ht="14.25" customHeight="1">
      <c r="A3187" s="4">
        <v>1216</v>
      </c>
      <c r="B3187" s="4">
        <v>26764</v>
      </c>
      <c r="C3187" s="17">
        <v>44760</v>
      </c>
      <c r="D3187" s="4">
        <v>63</v>
      </c>
      <c r="E3187" t="str">
        <f t="shared" si="49"/>
        <v>1216-26764-44760</v>
      </c>
    </row>
    <row r="3188" spans="1:5" ht="14.25" customHeight="1">
      <c r="A3188" s="4">
        <v>1216</v>
      </c>
      <c r="B3188" s="4">
        <v>26764</v>
      </c>
      <c r="C3188" s="17">
        <v>44767</v>
      </c>
      <c r="D3188" s="4">
        <v>69</v>
      </c>
      <c r="E3188" t="str">
        <f t="shared" si="49"/>
        <v>1216-26764-44767</v>
      </c>
    </row>
    <row r="3189" spans="1:5" ht="14.25" customHeight="1">
      <c r="A3189" s="4">
        <v>1216</v>
      </c>
      <c r="B3189" s="4">
        <v>26764</v>
      </c>
      <c r="C3189" s="17">
        <v>44774</v>
      </c>
      <c r="D3189" s="4">
        <v>54</v>
      </c>
      <c r="E3189" t="str">
        <f t="shared" si="49"/>
        <v>1216-26764-44774</v>
      </c>
    </row>
    <row r="3190" spans="1:5" ht="14.25" customHeight="1">
      <c r="A3190" s="4">
        <v>1216</v>
      </c>
      <c r="B3190" s="4">
        <v>26764</v>
      </c>
      <c r="C3190" s="17">
        <v>44781</v>
      </c>
      <c r="D3190" s="4">
        <v>54</v>
      </c>
      <c r="E3190" t="str">
        <f t="shared" si="49"/>
        <v>1216-26764-44781</v>
      </c>
    </row>
    <row r="3191" spans="1:5" ht="14.25" customHeight="1">
      <c r="A3191" s="4">
        <v>1216</v>
      </c>
      <c r="B3191" s="4">
        <v>26764</v>
      </c>
      <c r="C3191" s="17">
        <v>44788</v>
      </c>
      <c r="D3191" s="4">
        <v>64</v>
      </c>
      <c r="E3191" t="str">
        <f t="shared" si="49"/>
        <v>1216-26764-44788</v>
      </c>
    </row>
    <row r="3192" spans="1:5" ht="14.25" customHeight="1">
      <c r="A3192" s="4">
        <v>1216</v>
      </c>
      <c r="B3192" s="4">
        <v>53934</v>
      </c>
      <c r="C3192" s="17">
        <v>44739</v>
      </c>
      <c r="D3192" s="4">
        <v>58</v>
      </c>
      <c r="E3192" t="str">
        <f t="shared" si="49"/>
        <v>1216-53934-44739</v>
      </c>
    </row>
    <row r="3193" spans="1:5" ht="14.25" customHeight="1">
      <c r="A3193" s="4">
        <v>1216</v>
      </c>
      <c r="B3193" s="4">
        <v>53934</v>
      </c>
      <c r="C3193" s="17">
        <v>44746</v>
      </c>
      <c r="D3193" s="4">
        <v>23</v>
      </c>
      <c r="E3193" t="str">
        <f t="shared" si="49"/>
        <v>1216-53934-44746</v>
      </c>
    </row>
    <row r="3194" spans="1:5" ht="14.25" customHeight="1">
      <c r="A3194" s="4">
        <v>1216</v>
      </c>
      <c r="B3194" s="4">
        <v>53934</v>
      </c>
      <c r="C3194" s="17">
        <v>44753</v>
      </c>
      <c r="D3194" s="4">
        <v>64</v>
      </c>
      <c r="E3194" t="str">
        <f t="shared" si="49"/>
        <v>1216-53934-44753</v>
      </c>
    </row>
    <row r="3195" spans="1:5" ht="14.25" customHeight="1">
      <c r="A3195" s="4">
        <v>1216</v>
      </c>
      <c r="B3195" s="4">
        <v>53934</v>
      </c>
      <c r="C3195" s="17">
        <v>44760</v>
      </c>
      <c r="D3195" s="4">
        <v>54</v>
      </c>
      <c r="E3195" t="str">
        <f t="shared" si="49"/>
        <v>1216-53934-44760</v>
      </c>
    </row>
    <row r="3196" spans="1:5" ht="14.25" customHeight="1">
      <c r="A3196" s="4">
        <v>1216</v>
      </c>
      <c r="B3196" s="4">
        <v>53934</v>
      </c>
      <c r="C3196" s="17">
        <v>44767</v>
      </c>
      <c r="D3196" s="4">
        <v>23</v>
      </c>
      <c r="E3196" t="str">
        <f t="shared" si="49"/>
        <v>1216-53934-44767</v>
      </c>
    </row>
    <row r="3197" spans="1:5" ht="14.25" customHeight="1">
      <c r="A3197" s="4">
        <v>1216</v>
      </c>
      <c r="B3197" s="4">
        <v>53934</v>
      </c>
      <c r="C3197" s="17">
        <v>44774</v>
      </c>
      <c r="D3197" s="4">
        <v>52</v>
      </c>
      <c r="E3197" t="str">
        <f t="shared" si="49"/>
        <v>1216-53934-44774</v>
      </c>
    </row>
    <row r="3198" spans="1:5" ht="14.25" customHeight="1">
      <c r="A3198" s="4">
        <v>1216</v>
      </c>
      <c r="B3198" s="4">
        <v>53934</v>
      </c>
      <c r="C3198" s="17">
        <v>44781</v>
      </c>
      <c r="D3198" s="4">
        <v>69</v>
      </c>
      <c r="E3198" t="str">
        <f t="shared" si="49"/>
        <v>1216-53934-44781</v>
      </c>
    </row>
    <row r="3199" spans="1:5" ht="14.25" customHeight="1">
      <c r="A3199" s="4">
        <v>1216</v>
      </c>
      <c r="B3199" s="4">
        <v>53934</v>
      </c>
      <c r="C3199" s="17">
        <v>44788</v>
      </c>
      <c r="D3199" s="4">
        <v>64</v>
      </c>
      <c r="E3199" t="str">
        <f t="shared" si="49"/>
        <v>1216-53934-44788</v>
      </c>
    </row>
    <row r="3200" spans="1:5" ht="14.25" customHeight="1">
      <c r="A3200" s="4">
        <v>1216</v>
      </c>
      <c r="B3200" s="4">
        <v>78699</v>
      </c>
      <c r="C3200" s="17">
        <v>44739</v>
      </c>
      <c r="D3200" s="4">
        <v>13</v>
      </c>
      <c r="E3200" t="str">
        <f t="shared" si="49"/>
        <v>1216-78699-44739</v>
      </c>
    </row>
    <row r="3201" spans="1:5" ht="14.25" customHeight="1">
      <c r="A3201" s="4">
        <v>1216</v>
      </c>
      <c r="B3201" s="4">
        <v>78699</v>
      </c>
      <c r="C3201" s="17">
        <v>44746</v>
      </c>
      <c r="D3201" s="4">
        <v>5</v>
      </c>
      <c r="E3201" t="str">
        <f t="shared" si="49"/>
        <v>1216-78699-44746</v>
      </c>
    </row>
    <row r="3202" spans="1:5" ht="14.25" customHeight="1">
      <c r="A3202" s="4">
        <v>1216</v>
      </c>
      <c r="B3202" s="4">
        <v>78699</v>
      </c>
      <c r="C3202" s="17">
        <v>44753</v>
      </c>
      <c r="D3202" s="4">
        <v>16</v>
      </c>
      <c r="E3202" t="str">
        <f t="shared" si="49"/>
        <v>1216-78699-44753</v>
      </c>
    </row>
    <row r="3203" spans="1:5" ht="14.25" customHeight="1">
      <c r="A3203" s="4">
        <v>1216</v>
      </c>
      <c r="B3203" s="4">
        <v>78699</v>
      </c>
      <c r="C3203" s="17">
        <v>44760</v>
      </c>
      <c r="D3203" s="4">
        <v>9</v>
      </c>
      <c r="E3203" t="str">
        <f t="shared" ref="E3203:E3266" si="50">A3203&amp;"-"&amp;B3203&amp;"-"&amp;INT(C3203)</f>
        <v>1216-78699-44760</v>
      </c>
    </row>
    <row r="3204" spans="1:5" ht="14.25" customHeight="1">
      <c r="A3204" s="4">
        <v>1216</v>
      </c>
      <c r="B3204" s="4">
        <v>78699</v>
      </c>
      <c r="C3204" s="17">
        <v>44767</v>
      </c>
      <c r="D3204" s="4">
        <v>3</v>
      </c>
      <c r="E3204" t="str">
        <f t="shared" si="50"/>
        <v>1216-78699-44767</v>
      </c>
    </row>
    <row r="3205" spans="1:5" ht="14.25" customHeight="1">
      <c r="A3205" s="4">
        <v>1216</v>
      </c>
      <c r="B3205" s="4">
        <v>78699</v>
      </c>
      <c r="C3205" s="17">
        <v>44774</v>
      </c>
      <c r="D3205" s="4">
        <v>15</v>
      </c>
      <c r="E3205" t="str">
        <f t="shared" si="50"/>
        <v>1216-78699-44774</v>
      </c>
    </row>
    <row r="3206" spans="1:5" ht="14.25" customHeight="1">
      <c r="A3206" s="4">
        <v>1216</v>
      </c>
      <c r="B3206" s="4">
        <v>78699</v>
      </c>
      <c r="C3206" s="17">
        <v>44781</v>
      </c>
      <c r="D3206" s="4">
        <v>15</v>
      </c>
      <c r="E3206" t="str">
        <f t="shared" si="50"/>
        <v>1216-78699-44781</v>
      </c>
    </row>
    <row r="3207" spans="1:5" ht="14.25" customHeight="1">
      <c r="A3207" s="4">
        <v>1216</v>
      </c>
      <c r="B3207" s="4">
        <v>78699</v>
      </c>
      <c r="C3207" s="17">
        <v>44788</v>
      </c>
      <c r="D3207" s="4">
        <v>17</v>
      </c>
      <c r="E3207" t="str">
        <f t="shared" si="50"/>
        <v>1216-78699-44788</v>
      </c>
    </row>
    <row r="3208" spans="1:5" ht="14.25" customHeight="1">
      <c r="A3208" s="4">
        <v>1216</v>
      </c>
      <c r="B3208" s="4">
        <v>78869</v>
      </c>
      <c r="C3208" s="17">
        <v>44739</v>
      </c>
      <c r="D3208" s="4">
        <v>17</v>
      </c>
      <c r="E3208" t="str">
        <f t="shared" si="50"/>
        <v>1216-78869-44739</v>
      </c>
    </row>
    <row r="3209" spans="1:5" ht="14.25" customHeight="1">
      <c r="A3209" s="4">
        <v>1216</v>
      </c>
      <c r="B3209" s="4">
        <v>78869</v>
      </c>
      <c r="C3209" s="17">
        <v>44746</v>
      </c>
      <c r="D3209" s="4">
        <v>14</v>
      </c>
      <c r="E3209" t="str">
        <f t="shared" si="50"/>
        <v>1216-78869-44746</v>
      </c>
    </row>
    <row r="3210" spans="1:5" ht="14.25" customHeight="1">
      <c r="A3210" s="4">
        <v>1216</v>
      </c>
      <c r="B3210" s="4">
        <v>78869</v>
      </c>
      <c r="C3210" s="17">
        <v>44753</v>
      </c>
      <c r="D3210" s="4">
        <v>15</v>
      </c>
      <c r="E3210" t="str">
        <f t="shared" si="50"/>
        <v>1216-78869-44753</v>
      </c>
    </row>
    <row r="3211" spans="1:5" ht="14.25" customHeight="1">
      <c r="A3211" s="4">
        <v>1216</v>
      </c>
      <c r="B3211" s="4">
        <v>78869</v>
      </c>
      <c r="C3211" s="17">
        <v>44760</v>
      </c>
      <c r="D3211" s="4">
        <v>9</v>
      </c>
      <c r="E3211" t="str">
        <f t="shared" si="50"/>
        <v>1216-78869-44760</v>
      </c>
    </row>
    <row r="3212" spans="1:5" ht="14.25" customHeight="1">
      <c r="A3212" s="4">
        <v>1216</v>
      </c>
      <c r="B3212" s="4">
        <v>78869</v>
      </c>
      <c r="C3212" s="17">
        <v>44767</v>
      </c>
      <c r="D3212" s="4">
        <v>9</v>
      </c>
      <c r="E3212" t="str">
        <f t="shared" si="50"/>
        <v>1216-78869-44767</v>
      </c>
    </row>
    <row r="3213" spans="1:5" ht="14.25" customHeight="1">
      <c r="A3213" s="4">
        <v>1216</v>
      </c>
      <c r="B3213" s="4">
        <v>78869</v>
      </c>
      <c r="C3213" s="17">
        <v>44774</v>
      </c>
      <c r="D3213" s="4">
        <v>5</v>
      </c>
      <c r="E3213" t="str">
        <f t="shared" si="50"/>
        <v>1216-78869-44774</v>
      </c>
    </row>
    <row r="3214" spans="1:5" ht="14.25" customHeight="1">
      <c r="A3214" s="4">
        <v>1216</v>
      </c>
      <c r="B3214" s="4">
        <v>78869</v>
      </c>
      <c r="C3214" s="17">
        <v>44781</v>
      </c>
      <c r="D3214" s="4">
        <v>9</v>
      </c>
      <c r="E3214" t="str">
        <f t="shared" si="50"/>
        <v>1216-78869-44781</v>
      </c>
    </row>
    <row r="3215" spans="1:5" ht="14.25" customHeight="1">
      <c r="A3215" s="4">
        <v>1216</v>
      </c>
      <c r="B3215" s="4">
        <v>78869</v>
      </c>
      <c r="C3215" s="17">
        <v>44788</v>
      </c>
      <c r="D3215" s="4">
        <v>17</v>
      </c>
      <c r="E3215" t="str">
        <f t="shared" si="50"/>
        <v>1216-78869-44788</v>
      </c>
    </row>
    <row r="3216" spans="1:5" ht="14.25" customHeight="1">
      <c r="A3216" s="4">
        <v>1216</v>
      </c>
      <c r="B3216" s="4">
        <v>115600</v>
      </c>
      <c r="C3216" s="17">
        <v>32874</v>
      </c>
      <c r="D3216" s="4">
        <v>24</v>
      </c>
      <c r="E3216" t="str">
        <f t="shared" si="50"/>
        <v>1216-115600-32874</v>
      </c>
    </row>
    <row r="3217" spans="1:5" ht="14.25" customHeight="1">
      <c r="A3217" s="4">
        <v>1216</v>
      </c>
      <c r="B3217" s="4">
        <v>115600</v>
      </c>
      <c r="C3217" s="17">
        <v>44739</v>
      </c>
      <c r="D3217" s="4">
        <v>36</v>
      </c>
      <c r="E3217" t="str">
        <f t="shared" si="50"/>
        <v>1216-115600-44739</v>
      </c>
    </row>
    <row r="3218" spans="1:5" ht="14.25" customHeight="1">
      <c r="A3218" s="4">
        <v>1216</v>
      </c>
      <c r="B3218" s="4">
        <v>115600</v>
      </c>
      <c r="C3218" s="17">
        <v>44746</v>
      </c>
      <c r="D3218" s="4">
        <v>41</v>
      </c>
      <c r="E3218" t="str">
        <f t="shared" si="50"/>
        <v>1216-115600-44746</v>
      </c>
    </row>
    <row r="3219" spans="1:5" ht="14.25" customHeight="1">
      <c r="A3219" s="4">
        <v>1216</v>
      </c>
      <c r="B3219" s="4">
        <v>115600</v>
      </c>
      <c r="C3219" s="17">
        <v>44753</v>
      </c>
      <c r="D3219" s="4">
        <v>35</v>
      </c>
      <c r="E3219" t="str">
        <f t="shared" si="50"/>
        <v>1216-115600-44753</v>
      </c>
    </row>
    <row r="3220" spans="1:5" ht="14.25" customHeight="1">
      <c r="A3220" s="4">
        <v>1216</v>
      </c>
      <c r="B3220" s="4">
        <v>115600</v>
      </c>
      <c r="C3220" s="17">
        <v>44760</v>
      </c>
      <c r="D3220" s="4">
        <v>24</v>
      </c>
      <c r="E3220" t="str">
        <f t="shared" si="50"/>
        <v>1216-115600-44760</v>
      </c>
    </row>
    <row r="3221" spans="1:5" ht="14.25" customHeight="1">
      <c r="A3221" s="4">
        <v>1216</v>
      </c>
      <c r="B3221" s="4">
        <v>115600</v>
      </c>
      <c r="C3221" s="17">
        <v>44767</v>
      </c>
      <c r="D3221" s="4">
        <v>35</v>
      </c>
      <c r="E3221" t="str">
        <f t="shared" si="50"/>
        <v>1216-115600-44767</v>
      </c>
    </row>
    <row r="3222" spans="1:5" ht="14.25" customHeight="1">
      <c r="A3222" s="4">
        <v>1216</v>
      </c>
      <c r="B3222" s="4">
        <v>115600</v>
      </c>
      <c r="C3222" s="17">
        <v>44774</v>
      </c>
      <c r="D3222" s="4">
        <v>36</v>
      </c>
      <c r="E3222" t="str">
        <f t="shared" si="50"/>
        <v>1216-115600-44774</v>
      </c>
    </row>
    <row r="3223" spans="1:5" ht="14.25" customHeight="1">
      <c r="A3223" s="4">
        <v>1216</v>
      </c>
      <c r="B3223" s="4">
        <v>115600</v>
      </c>
      <c r="C3223" s="17">
        <v>44781</v>
      </c>
      <c r="D3223" s="4">
        <v>39</v>
      </c>
      <c r="E3223" t="str">
        <f t="shared" si="50"/>
        <v>1216-115600-44781</v>
      </c>
    </row>
    <row r="3224" spans="1:5" ht="14.25" customHeight="1">
      <c r="A3224" s="4">
        <v>1216</v>
      </c>
      <c r="B3224" s="4">
        <v>115600</v>
      </c>
      <c r="C3224" s="17">
        <v>44788</v>
      </c>
      <c r="D3224" s="4">
        <v>22</v>
      </c>
      <c r="E3224" t="str">
        <f t="shared" si="50"/>
        <v>1216-115600-44788</v>
      </c>
    </row>
    <row r="3225" spans="1:5" ht="14.25" customHeight="1">
      <c r="A3225" s="4">
        <v>1216</v>
      </c>
      <c r="B3225" s="4">
        <v>129208</v>
      </c>
      <c r="C3225" s="17">
        <v>32874</v>
      </c>
      <c r="D3225" s="4">
        <v>27</v>
      </c>
      <c r="E3225" t="str">
        <f t="shared" si="50"/>
        <v>1216-129208-32874</v>
      </c>
    </row>
    <row r="3226" spans="1:5" ht="14.25" customHeight="1">
      <c r="A3226" s="4">
        <v>1216</v>
      </c>
      <c r="B3226" s="4">
        <v>129208</v>
      </c>
      <c r="C3226" s="17">
        <v>44739</v>
      </c>
      <c r="D3226" s="4">
        <v>21</v>
      </c>
      <c r="E3226" t="str">
        <f t="shared" si="50"/>
        <v>1216-129208-44739</v>
      </c>
    </row>
    <row r="3227" spans="1:5" ht="14.25" customHeight="1">
      <c r="A3227" s="4">
        <v>1216</v>
      </c>
      <c r="B3227" s="4">
        <v>129208</v>
      </c>
      <c r="C3227" s="17">
        <v>44746</v>
      </c>
      <c r="D3227" s="4">
        <v>23</v>
      </c>
      <c r="E3227" t="str">
        <f t="shared" si="50"/>
        <v>1216-129208-44746</v>
      </c>
    </row>
    <row r="3228" spans="1:5" ht="14.25" customHeight="1">
      <c r="A3228" s="4">
        <v>1216</v>
      </c>
      <c r="B3228" s="4">
        <v>129208</v>
      </c>
      <c r="C3228" s="17">
        <v>44753</v>
      </c>
      <c r="D3228" s="4">
        <v>21</v>
      </c>
      <c r="E3228" t="str">
        <f t="shared" si="50"/>
        <v>1216-129208-44753</v>
      </c>
    </row>
    <row r="3229" spans="1:5" ht="14.25" customHeight="1">
      <c r="A3229" s="4">
        <v>1216</v>
      </c>
      <c r="B3229" s="4">
        <v>129208</v>
      </c>
      <c r="C3229" s="17">
        <v>44760</v>
      </c>
      <c r="D3229" s="4">
        <v>18</v>
      </c>
      <c r="E3229" t="str">
        <f t="shared" si="50"/>
        <v>1216-129208-44760</v>
      </c>
    </row>
    <row r="3230" spans="1:5" ht="14.25" customHeight="1">
      <c r="A3230" s="4">
        <v>1216</v>
      </c>
      <c r="B3230" s="4">
        <v>129208</v>
      </c>
      <c r="C3230" s="17">
        <v>44767</v>
      </c>
      <c r="D3230" s="4">
        <v>16</v>
      </c>
      <c r="E3230" t="str">
        <f t="shared" si="50"/>
        <v>1216-129208-44767</v>
      </c>
    </row>
    <row r="3231" spans="1:5" ht="14.25" customHeight="1">
      <c r="A3231" s="4">
        <v>1216</v>
      </c>
      <c r="B3231" s="4">
        <v>129208</v>
      </c>
      <c r="C3231" s="17">
        <v>44774</v>
      </c>
      <c r="D3231" s="4">
        <v>21</v>
      </c>
      <c r="E3231" t="str">
        <f t="shared" si="50"/>
        <v>1216-129208-44774</v>
      </c>
    </row>
    <row r="3232" spans="1:5" ht="14.25" customHeight="1">
      <c r="A3232" s="4">
        <v>1216</v>
      </c>
      <c r="B3232" s="4">
        <v>129208</v>
      </c>
      <c r="C3232" s="17">
        <v>44781</v>
      </c>
      <c r="D3232" s="4">
        <v>24</v>
      </c>
      <c r="E3232" t="str">
        <f t="shared" si="50"/>
        <v>1216-129208-44781</v>
      </c>
    </row>
    <row r="3233" spans="1:5" ht="14.25" customHeight="1">
      <c r="A3233" s="4">
        <v>1216</v>
      </c>
      <c r="B3233" s="4">
        <v>129208</v>
      </c>
      <c r="C3233" s="17">
        <v>44788</v>
      </c>
      <c r="D3233" s="4">
        <v>24</v>
      </c>
      <c r="E3233" t="str">
        <f t="shared" si="50"/>
        <v>1216-129208-44788</v>
      </c>
    </row>
    <row r="3234" spans="1:5" ht="14.25" customHeight="1">
      <c r="A3234" s="4">
        <v>1216</v>
      </c>
      <c r="B3234" s="4">
        <v>141622</v>
      </c>
      <c r="C3234" s="17">
        <v>44739</v>
      </c>
      <c r="D3234" s="4">
        <v>51</v>
      </c>
      <c r="E3234" t="str">
        <f t="shared" si="50"/>
        <v>1216-141622-44739</v>
      </c>
    </row>
    <row r="3235" spans="1:5" ht="14.25" customHeight="1">
      <c r="A3235" s="4">
        <v>1216</v>
      </c>
      <c r="B3235" s="4">
        <v>141622</v>
      </c>
      <c r="C3235" s="17">
        <v>44746</v>
      </c>
      <c r="D3235" s="4">
        <v>43</v>
      </c>
      <c r="E3235" t="str">
        <f t="shared" si="50"/>
        <v>1216-141622-44746</v>
      </c>
    </row>
    <row r="3236" spans="1:5" ht="14.25" customHeight="1">
      <c r="A3236" s="4">
        <v>1216</v>
      </c>
      <c r="B3236" s="4">
        <v>141622</v>
      </c>
      <c r="C3236" s="17">
        <v>44753</v>
      </c>
      <c r="D3236" s="4">
        <v>43</v>
      </c>
      <c r="E3236" t="str">
        <f t="shared" si="50"/>
        <v>1216-141622-44753</v>
      </c>
    </row>
    <row r="3237" spans="1:5" ht="14.25" customHeight="1">
      <c r="A3237" s="4">
        <v>1216</v>
      </c>
      <c r="B3237" s="4">
        <v>141622</v>
      </c>
      <c r="C3237" s="17">
        <v>44760</v>
      </c>
      <c r="D3237" s="4">
        <v>33</v>
      </c>
      <c r="E3237" t="str">
        <f t="shared" si="50"/>
        <v>1216-141622-44760</v>
      </c>
    </row>
    <row r="3238" spans="1:5" ht="14.25" customHeight="1">
      <c r="A3238" s="4">
        <v>1216</v>
      </c>
      <c r="B3238" s="4">
        <v>141622</v>
      </c>
      <c r="C3238" s="17">
        <v>44767</v>
      </c>
      <c r="D3238" s="4">
        <v>46</v>
      </c>
      <c r="E3238" t="str">
        <f t="shared" si="50"/>
        <v>1216-141622-44767</v>
      </c>
    </row>
    <row r="3239" spans="1:5" ht="14.25" customHeight="1">
      <c r="A3239" s="4">
        <v>1216</v>
      </c>
      <c r="B3239" s="4">
        <v>141622</v>
      </c>
      <c r="C3239" s="17">
        <v>44774</v>
      </c>
      <c r="D3239" s="4">
        <v>41</v>
      </c>
      <c r="E3239" t="str">
        <f t="shared" si="50"/>
        <v>1216-141622-44774</v>
      </c>
    </row>
    <row r="3240" spans="1:5" ht="14.25" customHeight="1">
      <c r="A3240" s="4">
        <v>1216</v>
      </c>
      <c r="B3240" s="4">
        <v>141622</v>
      </c>
      <c r="C3240" s="17">
        <v>44781</v>
      </c>
      <c r="D3240" s="4">
        <v>7</v>
      </c>
      <c r="E3240" t="str">
        <f t="shared" si="50"/>
        <v>1216-141622-44781</v>
      </c>
    </row>
    <row r="3241" spans="1:5" ht="14.25" customHeight="1">
      <c r="A3241" s="4">
        <v>1216</v>
      </c>
      <c r="B3241" s="4">
        <v>141622</v>
      </c>
      <c r="C3241" s="17">
        <v>44788</v>
      </c>
      <c r="D3241" s="4">
        <v>6</v>
      </c>
      <c r="E3241" t="str">
        <f t="shared" si="50"/>
        <v>1216-141622-44788</v>
      </c>
    </row>
    <row r="3242" spans="1:5" ht="14.25" customHeight="1">
      <c r="A3242" s="4">
        <v>1216</v>
      </c>
      <c r="B3242" s="4">
        <v>141626</v>
      </c>
      <c r="C3242" s="17">
        <v>44739</v>
      </c>
      <c r="D3242" s="4">
        <v>211</v>
      </c>
      <c r="E3242" t="str">
        <f t="shared" si="50"/>
        <v>1216-141626-44739</v>
      </c>
    </row>
    <row r="3243" spans="1:5" ht="14.25" customHeight="1">
      <c r="A3243" s="4">
        <v>1216</v>
      </c>
      <c r="B3243" s="4">
        <v>141626</v>
      </c>
      <c r="C3243" s="17">
        <v>44746</v>
      </c>
      <c r="D3243" s="4">
        <v>253</v>
      </c>
      <c r="E3243" t="str">
        <f t="shared" si="50"/>
        <v>1216-141626-44746</v>
      </c>
    </row>
    <row r="3244" spans="1:5" ht="14.25" customHeight="1">
      <c r="A3244" s="4">
        <v>1216</v>
      </c>
      <c r="B3244" s="4">
        <v>141626</v>
      </c>
      <c r="C3244" s="17">
        <v>44753</v>
      </c>
      <c r="D3244" s="4">
        <v>262</v>
      </c>
      <c r="E3244" t="str">
        <f t="shared" si="50"/>
        <v>1216-141626-44753</v>
      </c>
    </row>
    <row r="3245" spans="1:5" ht="14.25" customHeight="1">
      <c r="A3245" s="4">
        <v>1216</v>
      </c>
      <c r="B3245" s="4">
        <v>141626</v>
      </c>
      <c r="C3245" s="17">
        <v>44760</v>
      </c>
      <c r="D3245" s="4">
        <v>199</v>
      </c>
      <c r="E3245" t="str">
        <f t="shared" si="50"/>
        <v>1216-141626-44760</v>
      </c>
    </row>
    <row r="3246" spans="1:5" ht="14.25" customHeight="1">
      <c r="A3246" s="4">
        <v>1216</v>
      </c>
      <c r="B3246" s="4">
        <v>141626</v>
      </c>
      <c r="C3246" s="17">
        <v>44767</v>
      </c>
      <c r="D3246" s="4">
        <v>204</v>
      </c>
      <c r="E3246" t="str">
        <f t="shared" si="50"/>
        <v>1216-141626-44767</v>
      </c>
    </row>
    <row r="3247" spans="1:5" ht="14.25" customHeight="1">
      <c r="A3247" s="4">
        <v>1216</v>
      </c>
      <c r="B3247" s="4">
        <v>141626</v>
      </c>
      <c r="C3247" s="17">
        <v>44774</v>
      </c>
      <c r="D3247" s="4">
        <v>117</v>
      </c>
      <c r="E3247" t="str">
        <f t="shared" si="50"/>
        <v>1216-141626-44774</v>
      </c>
    </row>
    <row r="3248" spans="1:5" ht="14.25" customHeight="1">
      <c r="A3248" s="4">
        <v>1216</v>
      </c>
      <c r="B3248" s="4">
        <v>141626</v>
      </c>
      <c r="C3248" s="17">
        <v>44781</v>
      </c>
      <c r="D3248" s="4">
        <v>118</v>
      </c>
      <c r="E3248" t="str">
        <f t="shared" si="50"/>
        <v>1216-141626-44781</v>
      </c>
    </row>
    <row r="3249" spans="1:5" ht="14.25" customHeight="1">
      <c r="A3249" s="4">
        <v>1216</v>
      </c>
      <c r="B3249" s="4">
        <v>141626</v>
      </c>
      <c r="C3249" s="17">
        <v>44788</v>
      </c>
      <c r="D3249" s="4">
        <v>218</v>
      </c>
      <c r="E3249" t="str">
        <f t="shared" si="50"/>
        <v>1216-141626-44788</v>
      </c>
    </row>
    <row r="3250" spans="1:5" ht="14.25" customHeight="1">
      <c r="A3250" s="4">
        <v>1216</v>
      </c>
      <c r="B3250" s="4">
        <v>141791</v>
      </c>
      <c r="C3250" s="17">
        <v>44739</v>
      </c>
      <c r="D3250" s="4">
        <v>9</v>
      </c>
      <c r="E3250" t="str">
        <f t="shared" si="50"/>
        <v>1216-141791-44739</v>
      </c>
    </row>
    <row r="3251" spans="1:5" ht="14.25" customHeight="1">
      <c r="A3251" s="4">
        <v>1216</v>
      </c>
      <c r="B3251" s="4">
        <v>141791</v>
      </c>
      <c r="C3251" s="17">
        <v>44746</v>
      </c>
      <c r="D3251" s="4">
        <v>9</v>
      </c>
      <c r="E3251" t="str">
        <f t="shared" si="50"/>
        <v>1216-141791-44746</v>
      </c>
    </row>
    <row r="3252" spans="1:5" ht="14.25" customHeight="1">
      <c r="A3252" s="4">
        <v>1216</v>
      </c>
      <c r="B3252" s="4">
        <v>141791</v>
      </c>
      <c r="C3252" s="17">
        <v>44753</v>
      </c>
      <c r="D3252" s="4">
        <v>9</v>
      </c>
      <c r="E3252" t="str">
        <f t="shared" si="50"/>
        <v>1216-141791-44753</v>
      </c>
    </row>
    <row r="3253" spans="1:5" ht="14.25" customHeight="1">
      <c r="A3253" s="4">
        <v>1216</v>
      </c>
      <c r="B3253" s="4">
        <v>141791</v>
      </c>
      <c r="C3253" s="17">
        <v>44760</v>
      </c>
      <c r="D3253" s="4">
        <v>9</v>
      </c>
      <c r="E3253" t="str">
        <f t="shared" si="50"/>
        <v>1216-141791-44760</v>
      </c>
    </row>
    <row r="3254" spans="1:5" ht="14.25" customHeight="1">
      <c r="A3254" s="4">
        <v>1216</v>
      </c>
      <c r="B3254" s="4">
        <v>141791</v>
      </c>
      <c r="C3254" s="17">
        <v>44767</v>
      </c>
      <c r="D3254" s="4">
        <v>9</v>
      </c>
      <c r="E3254" t="str">
        <f t="shared" si="50"/>
        <v>1216-141791-44767</v>
      </c>
    </row>
    <row r="3255" spans="1:5" ht="14.25" customHeight="1">
      <c r="A3255" s="4">
        <v>1216</v>
      </c>
      <c r="B3255" s="4">
        <v>141791</v>
      </c>
      <c r="C3255" s="17">
        <v>44774</v>
      </c>
      <c r="D3255" s="4">
        <v>9</v>
      </c>
      <c r="E3255" t="str">
        <f t="shared" si="50"/>
        <v>1216-141791-44774</v>
      </c>
    </row>
    <row r="3256" spans="1:5" ht="14.25" customHeight="1">
      <c r="A3256" s="4">
        <v>1216</v>
      </c>
      <c r="B3256" s="4">
        <v>141791</v>
      </c>
      <c r="C3256" s="17">
        <v>44781</v>
      </c>
      <c r="D3256" s="4">
        <v>9</v>
      </c>
      <c r="E3256" t="str">
        <f t="shared" si="50"/>
        <v>1216-141791-44781</v>
      </c>
    </row>
    <row r="3257" spans="1:5" ht="14.25" customHeight="1">
      <c r="A3257" s="4">
        <v>1216</v>
      </c>
      <c r="B3257" s="4">
        <v>141791</v>
      </c>
      <c r="C3257" s="17">
        <v>44788</v>
      </c>
      <c r="D3257" s="4">
        <v>9</v>
      </c>
      <c r="E3257" t="str">
        <f t="shared" si="50"/>
        <v>1216-141791-44788</v>
      </c>
    </row>
    <row r="3258" spans="1:5" ht="14.25" customHeight="1">
      <c r="A3258" s="4">
        <v>1216</v>
      </c>
      <c r="B3258" s="4">
        <v>141846</v>
      </c>
      <c r="C3258" s="17">
        <v>44739</v>
      </c>
      <c r="D3258" s="4">
        <v>-1</v>
      </c>
      <c r="E3258" t="str">
        <f t="shared" si="50"/>
        <v>1216-141846-44739</v>
      </c>
    </row>
    <row r="3259" spans="1:5" ht="14.25" customHeight="1">
      <c r="A3259" s="4">
        <v>1216</v>
      </c>
      <c r="B3259" s="4">
        <v>141846</v>
      </c>
      <c r="C3259" s="17">
        <v>44746</v>
      </c>
      <c r="D3259" s="4">
        <v>13</v>
      </c>
      <c r="E3259" t="str">
        <f t="shared" si="50"/>
        <v>1216-141846-44746</v>
      </c>
    </row>
    <row r="3260" spans="1:5" ht="14.25" customHeight="1">
      <c r="A3260" s="4">
        <v>1216</v>
      </c>
      <c r="B3260" s="4">
        <v>141846</v>
      </c>
      <c r="C3260" s="17">
        <v>44753</v>
      </c>
      <c r="D3260" s="4">
        <v>8</v>
      </c>
      <c r="E3260" t="str">
        <f t="shared" si="50"/>
        <v>1216-141846-44753</v>
      </c>
    </row>
    <row r="3261" spans="1:5" ht="14.25" customHeight="1">
      <c r="A3261" s="4">
        <v>1216</v>
      </c>
      <c r="B3261" s="4">
        <v>141846</v>
      </c>
      <c r="C3261" s="17">
        <v>44760</v>
      </c>
      <c r="D3261" s="4">
        <v>6</v>
      </c>
      <c r="E3261" t="str">
        <f t="shared" si="50"/>
        <v>1216-141846-44760</v>
      </c>
    </row>
    <row r="3262" spans="1:5" ht="14.25" customHeight="1">
      <c r="A3262" s="4">
        <v>1216</v>
      </c>
      <c r="B3262" s="4">
        <v>141846</v>
      </c>
      <c r="C3262" s="17">
        <v>44767</v>
      </c>
      <c r="D3262" s="4">
        <v>13</v>
      </c>
      <c r="E3262" t="str">
        <f t="shared" si="50"/>
        <v>1216-141846-44767</v>
      </c>
    </row>
    <row r="3263" spans="1:5" ht="14.25" customHeight="1">
      <c r="A3263" s="4">
        <v>1216</v>
      </c>
      <c r="B3263" s="4">
        <v>141846</v>
      </c>
      <c r="C3263" s="17">
        <v>44774</v>
      </c>
      <c r="D3263" s="4">
        <v>13</v>
      </c>
      <c r="E3263" t="str">
        <f t="shared" si="50"/>
        <v>1216-141846-44774</v>
      </c>
    </row>
    <row r="3264" spans="1:5" ht="14.25" customHeight="1">
      <c r="A3264" s="4">
        <v>1216</v>
      </c>
      <c r="B3264" s="4">
        <v>141846</v>
      </c>
      <c r="C3264" s="17">
        <v>44781</v>
      </c>
      <c r="D3264" s="4">
        <v>6</v>
      </c>
      <c r="E3264" t="str">
        <f t="shared" si="50"/>
        <v>1216-141846-44781</v>
      </c>
    </row>
    <row r="3265" spans="1:5" ht="14.25" customHeight="1">
      <c r="A3265" s="4">
        <v>1216</v>
      </c>
      <c r="B3265" s="4">
        <v>141846</v>
      </c>
      <c r="C3265" s="17">
        <v>44788</v>
      </c>
      <c r="D3265" s="4">
        <v>9</v>
      </c>
      <c r="E3265" t="str">
        <f t="shared" si="50"/>
        <v>1216-141846-44788</v>
      </c>
    </row>
    <row r="3266" spans="1:5" ht="14.25" customHeight="1">
      <c r="A3266" s="4">
        <v>1216</v>
      </c>
      <c r="B3266" s="4">
        <v>141967</v>
      </c>
      <c r="C3266" s="17">
        <v>44739</v>
      </c>
      <c r="D3266" s="4">
        <v>9</v>
      </c>
      <c r="E3266" t="str">
        <f t="shared" si="50"/>
        <v>1216-141967-44739</v>
      </c>
    </row>
    <row r="3267" spans="1:5" ht="14.25" customHeight="1">
      <c r="A3267" s="4">
        <v>1216</v>
      </c>
      <c r="B3267" s="4">
        <v>141967</v>
      </c>
      <c r="C3267" s="17">
        <v>44746</v>
      </c>
      <c r="D3267" s="4">
        <v>1</v>
      </c>
      <c r="E3267" t="str">
        <f t="shared" ref="E3267:E3330" si="51">A3267&amp;"-"&amp;B3267&amp;"-"&amp;INT(C3267)</f>
        <v>1216-141967-44746</v>
      </c>
    </row>
    <row r="3268" spans="1:5" ht="14.25" customHeight="1">
      <c r="A3268" s="4">
        <v>1216</v>
      </c>
      <c r="B3268" s="4">
        <v>141967</v>
      </c>
      <c r="C3268" s="17">
        <v>44753</v>
      </c>
      <c r="D3268" s="4">
        <v>9</v>
      </c>
      <c r="E3268" t="str">
        <f t="shared" si="51"/>
        <v>1216-141967-44753</v>
      </c>
    </row>
    <row r="3269" spans="1:5" ht="14.25" customHeight="1">
      <c r="A3269" s="4">
        <v>1216</v>
      </c>
      <c r="B3269" s="4">
        <v>141967</v>
      </c>
      <c r="C3269" s="17">
        <v>44760</v>
      </c>
      <c r="D3269" s="4">
        <v>0</v>
      </c>
      <c r="E3269" t="str">
        <f t="shared" si="51"/>
        <v>1216-141967-44760</v>
      </c>
    </row>
    <row r="3270" spans="1:5" ht="14.25" customHeight="1">
      <c r="A3270" s="4">
        <v>1216</v>
      </c>
      <c r="B3270" s="4">
        <v>141967</v>
      </c>
      <c r="C3270" s="17">
        <v>44767</v>
      </c>
      <c r="D3270" s="4">
        <v>8</v>
      </c>
      <c r="E3270" t="str">
        <f t="shared" si="51"/>
        <v>1216-141967-44767</v>
      </c>
    </row>
    <row r="3271" spans="1:5" ht="14.25" customHeight="1">
      <c r="A3271" s="4">
        <v>1216</v>
      </c>
      <c r="B3271" s="4">
        <v>141967</v>
      </c>
      <c r="C3271" s="17">
        <v>44774</v>
      </c>
      <c r="D3271" s="4">
        <v>13</v>
      </c>
      <c r="E3271" t="str">
        <f t="shared" si="51"/>
        <v>1216-141967-44774</v>
      </c>
    </row>
    <row r="3272" spans="1:5" ht="14.25" customHeight="1">
      <c r="A3272" s="4">
        <v>1216</v>
      </c>
      <c r="B3272" s="4">
        <v>141967</v>
      </c>
      <c r="C3272" s="17">
        <v>44781</v>
      </c>
      <c r="D3272" s="4">
        <v>9</v>
      </c>
      <c r="E3272" t="str">
        <f t="shared" si="51"/>
        <v>1216-141967-44781</v>
      </c>
    </row>
    <row r="3273" spans="1:5" ht="14.25" customHeight="1">
      <c r="A3273" s="4">
        <v>1216</v>
      </c>
      <c r="B3273" s="4">
        <v>141967</v>
      </c>
      <c r="C3273" s="17">
        <v>44788</v>
      </c>
      <c r="D3273" s="4">
        <v>13</v>
      </c>
      <c r="E3273" t="str">
        <f t="shared" si="51"/>
        <v>1216-141967-44788</v>
      </c>
    </row>
    <row r="3274" spans="1:5" ht="14.25" customHeight="1">
      <c r="A3274" s="4">
        <v>1216</v>
      </c>
      <c r="B3274" s="4">
        <v>142194</v>
      </c>
      <c r="C3274" s="17">
        <v>44739</v>
      </c>
      <c r="D3274" s="4">
        <v>20</v>
      </c>
      <c r="E3274" t="str">
        <f t="shared" si="51"/>
        <v>1216-142194-44739</v>
      </c>
    </row>
    <row r="3275" spans="1:5" ht="14.25" customHeight="1">
      <c r="A3275" s="4">
        <v>1216</v>
      </c>
      <c r="B3275" s="4">
        <v>142194</v>
      </c>
      <c r="C3275" s="17">
        <v>44746</v>
      </c>
      <c r="D3275" s="4">
        <v>18</v>
      </c>
      <c r="E3275" t="str">
        <f t="shared" si="51"/>
        <v>1216-142194-44746</v>
      </c>
    </row>
    <row r="3276" spans="1:5" ht="14.25" customHeight="1">
      <c r="A3276" s="4">
        <v>1216</v>
      </c>
      <c r="B3276" s="4">
        <v>142194</v>
      </c>
      <c r="C3276" s="17">
        <v>44753</v>
      </c>
      <c r="D3276" s="4">
        <v>16</v>
      </c>
      <c r="E3276" t="str">
        <f t="shared" si="51"/>
        <v>1216-142194-44753</v>
      </c>
    </row>
    <row r="3277" spans="1:5" ht="14.25" customHeight="1">
      <c r="A3277" s="4">
        <v>1216</v>
      </c>
      <c r="B3277" s="4">
        <v>142194</v>
      </c>
      <c r="C3277" s="17">
        <v>44760</v>
      </c>
      <c r="D3277" s="4">
        <v>16</v>
      </c>
      <c r="E3277" t="str">
        <f t="shared" si="51"/>
        <v>1216-142194-44760</v>
      </c>
    </row>
    <row r="3278" spans="1:5" ht="14.25" customHeight="1">
      <c r="A3278" s="4">
        <v>1216</v>
      </c>
      <c r="B3278" s="4">
        <v>142194</v>
      </c>
      <c r="C3278" s="17">
        <v>44767</v>
      </c>
      <c r="D3278" s="4">
        <v>14</v>
      </c>
      <c r="E3278" t="str">
        <f t="shared" si="51"/>
        <v>1216-142194-44767</v>
      </c>
    </row>
    <row r="3279" spans="1:5" ht="14.25" customHeight="1">
      <c r="A3279" s="4">
        <v>1216</v>
      </c>
      <c r="B3279" s="4">
        <v>142194</v>
      </c>
      <c r="C3279" s="17">
        <v>44774</v>
      </c>
      <c r="D3279" s="4">
        <v>18</v>
      </c>
      <c r="E3279" t="str">
        <f t="shared" si="51"/>
        <v>1216-142194-44774</v>
      </c>
    </row>
    <row r="3280" spans="1:5" ht="14.25" customHeight="1">
      <c r="A3280" s="4">
        <v>1216</v>
      </c>
      <c r="B3280" s="4">
        <v>142194</v>
      </c>
      <c r="C3280" s="17">
        <v>44781</v>
      </c>
      <c r="D3280" s="4">
        <v>4</v>
      </c>
      <c r="E3280" t="str">
        <f t="shared" si="51"/>
        <v>1216-142194-44781</v>
      </c>
    </row>
    <row r="3281" spans="1:5" ht="14.25" customHeight="1">
      <c r="A3281" s="4">
        <v>1216</v>
      </c>
      <c r="B3281" s="4">
        <v>142194</v>
      </c>
      <c r="C3281" s="17">
        <v>44788</v>
      </c>
      <c r="D3281" s="4">
        <v>12</v>
      </c>
      <c r="E3281" t="str">
        <f t="shared" si="51"/>
        <v>1216-142194-44788</v>
      </c>
    </row>
    <row r="3282" spans="1:5" ht="14.25" customHeight="1">
      <c r="A3282" s="4">
        <v>1216</v>
      </c>
      <c r="B3282" s="4">
        <v>149729</v>
      </c>
      <c r="C3282" s="17">
        <v>44739</v>
      </c>
      <c r="D3282" s="4">
        <v>23</v>
      </c>
      <c r="E3282" t="str">
        <f t="shared" si="51"/>
        <v>1216-149729-44739</v>
      </c>
    </row>
    <row r="3283" spans="1:5" ht="14.25" customHeight="1">
      <c r="A3283" s="4">
        <v>1216</v>
      </c>
      <c r="B3283" s="4">
        <v>149729</v>
      </c>
      <c r="C3283" s="17">
        <v>44746</v>
      </c>
      <c r="D3283" s="4">
        <v>59</v>
      </c>
      <c r="E3283" t="str">
        <f t="shared" si="51"/>
        <v>1216-149729-44746</v>
      </c>
    </row>
    <row r="3284" spans="1:5" ht="14.25" customHeight="1">
      <c r="A3284" s="4">
        <v>1216</v>
      </c>
      <c r="B3284" s="4">
        <v>149729</v>
      </c>
      <c r="C3284" s="17">
        <v>44753</v>
      </c>
      <c r="D3284" s="4">
        <v>20</v>
      </c>
      <c r="E3284" t="str">
        <f t="shared" si="51"/>
        <v>1216-149729-44753</v>
      </c>
    </row>
    <row r="3285" spans="1:5" ht="14.25" customHeight="1">
      <c r="A3285" s="4">
        <v>1216</v>
      </c>
      <c r="B3285" s="4">
        <v>149729</v>
      </c>
      <c r="C3285" s="17">
        <v>44760</v>
      </c>
      <c r="D3285" s="4">
        <v>86</v>
      </c>
      <c r="E3285" t="str">
        <f t="shared" si="51"/>
        <v>1216-149729-44760</v>
      </c>
    </row>
    <row r="3286" spans="1:5" ht="14.25" customHeight="1">
      <c r="A3286" s="4">
        <v>1216</v>
      </c>
      <c r="B3286" s="4">
        <v>149729</v>
      </c>
      <c r="C3286" s="17">
        <v>44767</v>
      </c>
      <c r="D3286" s="4">
        <v>64</v>
      </c>
      <c r="E3286" t="str">
        <f t="shared" si="51"/>
        <v>1216-149729-44767</v>
      </c>
    </row>
    <row r="3287" spans="1:5" ht="14.25" customHeight="1">
      <c r="A3287" s="4">
        <v>1216</v>
      </c>
      <c r="B3287" s="4">
        <v>149729</v>
      </c>
      <c r="C3287" s="17">
        <v>44774</v>
      </c>
      <c r="D3287" s="4">
        <v>82</v>
      </c>
      <c r="E3287" t="str">
        <f t="shared" si="51"/>
        <v>1216-149729-44774</v>
      </c>
    </row>
    <row r="3288" spans="1:5" ht="14.25" customHeight="1">
      <c r="A3288" s="4">
        <v>1216</v>
      </c>
      <c r="B3288" s="4">
        <v>149729</v>
      </c>
      <c r="C3288" s="17">
        <v>44781</v>
      </c>
      <c r="D3288" s="4">
        <v>84</v>
      </c>
      <c r="E3288" t="str">
        <f t="shared" si="51"/>
        <v>1216-149729-44781</v>
      </c>
    </row>
    <row r="3289" spans="1:5" ht="14.25" customHeight="1">
      <c r="A3289" s="4">
        <v>1216</v>
      </c>
      <c r="B3289" s="4">
        <v>149729</v>
      </c>
      <c r="C3289" s="17">
        <v>44788</v>
      </c>
      <c r="D3289" s="4">
        <v>91</v>
      </c>
      <c r="E3289" t="str">
        <f t="shared" si="51"/>
        <v>1216-149729-44788</v>
      </c>
    </row>
    <row r="3290" spans="1:5" ht="14.25" customHeight="1">
      <c r="A3290" s="4">
        <v>1216</v>
      </c>
      <c r="B3290" s="4">
        <v>149779</v>
      </c>
      <c r="C3290" s="17">
        <v>44739</v>
      </c>
      <c r="D3290" s="4">
        <v>49</v>
      </c>
      <c r="E3290" t="str">
        <f t="shared" si="51"/>
        <v>1216-149779-44739</v>
      </c>
    </row>
    <row r="3291" spans="1:5" ht="14.25" customHeight="1">
      <c r="A3291" s="4">
        <v>1216</v>
      </c>
      <c r="B3291" s="4">
        <v>149779</v>
      </c>
      <c r="C3291" s="17">
        <v>44746</v>
      </c>
      <c r="D3291" s="4">
        <v>26</v>
      </c>
      <c r="E3291" t="str">
        <f t="shared" si="51"/>
        <v>1216-149779-44746</v>
      </c>
    </row>
    <row r="3292" spans="1:5" ht="14.25" customHeight="1">
      <c r="A3292" s="4">
        <v>1216</v>
      </c>
      <c r="B3292" s="4">
        <v>149779</v>
      </c>
      <c r="C3292" s="17">
        <v>44753</v>
      </c>
      <c r="D3292" s="4">
        <v>71</v>
      </c>
      <c r="E3292" t="str">
        <f t="shared" si="51"/>
        <v>1216-149779-44753</v>
      </c>
    </row>
    <row r="3293" spans="1:5" ht="14.25" customHeight="1">
      <c r="A3293" s="4">
        <v>1216</v>
      </c>
      <c r="B3293" s="4">
        <v>149779</v>
      </c>
      <c r="C3293" s="17">
        <v>44760</v>
      </c>
      <c r="D3293" s="4">
        <v>20</v>
      </c>
      <c r="E3293" t="str">
        <f t="shared" si="51"/>
        <v>1216-149779-44760</v>
      </c>
    </row>
    <row r="3294" spans="1:5" ht="14.25" customHeight="1">
      <c r="A3294" s="4">
        <v>1216</v>
      </c>
      <c r="B3294" s="4">
        <v>149779</v>
      </c>
      <c r="C3294" s="17">
        <v>44767</v>
      </c>
      <c r="D3294" s="4">
        <v>58</v>
      </c>
      <c r="E3294" t="str">
        <f t="shared" si="51"/>
        <v>1216-149779-44767</v>
      </c>
    </row>
    <row r="3295" spans="1:5" ht="14.25" customHeight="1">
      <c r="A3295" s="4">
        <v>1216</v>
      </c>
      <c r="B3295" s="4">
        <v>149779</v>
      </c>
      <c r="C3295" s="17">
        <v>44774</v>
      </c>
      <c r="D3295" s="4">
        <v>66</v>
      </c>
      <c r="E3295" t="str">
        <f t="shared" si="51"/>
        <v>1216-149779-44774</v>
      </c>
    </row>
    <row r="3296" spans="1:5" ht="14.25" customHeight="1">
      <c r="A3296" s="4">
        <v>1216</v>
      </c>
      <c r="B3296" s="4">
        <v>149779</v>
      </c>
      <c r="C3296" s="17">
        <v>44781</v>
      </c>
      <c r="D3296" s="4">
        <v>25</v>
      </c>
      <c r="E3296" t="str">
        <f t="shared" si="51"/>
        <v>1216-149779-44781</v>
      </c>
    </row>
    <row r="3297" spans="1:5" ht="14.25" customHeight="1">
      <c r="A3297" s="4">
        <v>1216</v>
      </c>
      <c r="B3297" s="4">
        <v>149779</v>
      </c>
      <c r="C3297" s="17">
        <v>44788</v>
      </c>
      <c r="D3297" s="4">
        <v>60</v>
      </c>
      <c r="E3297" t="str">
        <f t="shared" si="51"/>
        <v>1216-149779-44788</v>
      </c>
    </row>
    <row r="3298" spans="1:5" ht="14.25" customHeight="1">
      <c r="A3298" s="4">
        <v>1216</v>
      </c>
      <c r="B3298" s="4">
        <v>189933</v>
      </c>
      <c r="C3298" s="17">
        <v>44739</v>
      </c>
      <c r="D3298" s="4">
        <v>3</v>
      </c>
      <c r="E3298" t="str">
        <f t="shared" si="51"/>
        <v>1216-189933-44739</v>
      </c>
    </row>
    <row r="3299" spans="1:5" ht="14.25" customHeight="1">
      <c r="A3299" s="4">
        <v>1216</v>
      </c>
      <c r="B3299" s="4">
        <v>189933</v>
      </c>
      <c r="C3299" s="17">
        <v>44746</v>
      </c>
      <c r="D3299" s="4">
        <v>3</v>
      </c>
      <c r="E3299" t="str">
        <f t="shared" si="51"/>
        <v>1216-189933-44746</v>
      </c>
    </row>
    <row r="3300" spans="1:5" ht="14.25" customHeight="1">
      <c r="A3300" s="4">
        <v>1216</v>
      </c>
      <c r="B3300" s="4">
        <v>189933</v>
      </c>
      <c r="C3300" s="17">
        <v>44753</v>
      </c>
      <c r="D3300" s="4">
        <v>3</v>
      </c>
      <c r="E3300" t="str">
        <f t="shared" si="51"/>
        <v>1216-189933-44753</v>
      </c>
    </row>
    <row r="3301" spans="1:5" ht="14.25" customHeight="1">
      <c r="A3301" s="4">
        <v>1216</v>
      </c>
      <c r="B3301" s="4">
        <v>189933</v>
      </c>
      <c r="C3301" s="17">
        <v>44760</v>
      </c>
      <c r="D3301" s="4">
        <v>3</v>
      </c>
      <c r="E3301" t="str">
        <f t="shared" si="51"/>
        <v>1216-189933-44760</v>
      </c>
    </row>
    <row r="3302" spans="1:5" ht="14.25" customHeight="1">
      <c r="A3302" s="4">
        <v>1216</v>
      </c>
      <c r="B3302" s="4">
        <v>189933</v>
      </c>
      <c r="C3302" s="17">
        <v>44767</v>
      </c>
      <c r="D3302" s="4">
        <v>3</v>
      </c>
      <c r="E3302" t="str">
        <f t="shared" si="51"/>
        <v>1216-189933-44767</v>
      </c>
    </row>
    <row r="3303" spans="1:5" ht="14.25" customHeight="1">
      <c r="A3303" s="4">
        <v>1216</v>
      </c>
      <c r="B3303" s="4">
        <v>189933</v>
      </c>
      <c r="C3303" s="17">
        <v>44774</v>
      </c>
      <c r="D3303" s="4">
        <v>3</v>
      </c>
      <c r="E3303" t="str">
        <f t="shared" si="51"/>
        <v>1216-189933-44774</v>
      </c>
    </row>
    <row r="3304" spans="1:5" ht="14.25" customHeight="1">
      <c r="A3304" s="4">
        <v>1216</v>
      </c>
      <c r="B3304" s="4">
        <v>189933</v>
      </c>
      <c r="C3304" s="17">
        <v>44781</v>
      </c>
      <c r="D3304" s="4">
        <v>3</v>
      </c>
      <c r="E3304" t="str">
        <f t="shared" si="51"/>
        <v>1216-189933-44781</v>
      </c>
    </row>
    <row r="3305" spans="1:5" ht="14.25" customHeight="1">
      <c r="A3305" s="4">
        <v>1216</v>
      </c>
      <c r="B3305" s="4">
        <v>189933</v>
      </c>
      <c r="C3305" s="17">
        <v>44788</v>
      </c>
      <c r="D3305" s="4">
        <v>3</v>
      </c>
      <c r="E3305" t="str">
        <f t="shared" si="51"/>
        <v>1216-189933-44788</v>
      </c>
    </row>
    <row r="3306" spans="1:5" ht="14.25" customHeight="1">
      <c r="A3306" s="4">
        <v>1216</v>
      </c>
      <c r="B3306" s="4">
        <v>202577</v>
      </c>
      <c r="C3306" s="17">
        <v>44739</v>
      </c>
      <c r="D3306" s="4">
        <v>21</v>
      </c>
      <c r="E3306" t="str">
        <f t="shared" si="51"/>
        <v>1216-202577-44739</v>
      </c>
    </row>
    <row r="3307" spans="1:5" ht="14.25" customHeight="1">
      <c r="A3307" s="4">
        <v>1216</v>
      </c>
      <c r="B3307" s="4">
        <v>202577</v>
      </c>
      <c r="C3307" s="17">
        <v>44746</v>
      </c>
      <c r="D3307" s="4">
        <v>21</v>
      </c>
      <c r="E3307" t="str">
        <f t="shared" si="51"/>
        <v>1216-202577-44746</v>
      </c>
    </row>
    <row r="3308" spans="1:5" ht="14.25" customHeight="1">
      <c r="A3308" s="4">
        <v>1216</v>
      </c>
      <c r="B3308" s="4">
        <v>202577</v>
      </c>
      <c r="C3308" s="17">
        <v>44753</v>
      </c>
      <c r="D3308" s="4">
        <v>21</v>
      </c>
      <c r="E3308" t="str">
        <f t="shared" si="51"/>
        <v>1216-202577-44753</v>
      </c>
    </row>
    <row r="3309" spans="1:5" ht="14.25" customHeight="1">
      <c r="A3309" s="4">
        <v>1216</v>
      </c>
      <c r="B3309" s="4">
        <v>202577</v>
      </c>
      <c r="C3309" s="17">
        <v>44760</v>
      </c>
      <c r="D3309" s="4">
        <v>21</v>
      </c>
      <c r="E3309" t="str">
        <f t="shared" si="51"/>
        <v>1216-202577-44760</v>
      </c>
    </row>
    <row r="3310" spans="1:5" ht="14.25" customHeight="1">
      <c r="A3310" s="4">
        <v>1216</v>
      </c>
      <c r="B3310" s="4">
        <v>202577</v>
      </c>
      <c r="C3310" s="17">
        <v>44767</v>
      </c>
      <c r="D3310" s="4">
        <v>21</v>
      </c>
      <c r="E3310" t="str">
        <f t="shared" si="51"/>
        <v>1216-202577-44767</v>
      </c>
    </row>
    <row r="3311" spans="1:5" ht="14.25" customHeight="1">
      <c r="A3311" s="4">
        <v>1216</v>
      </c>
      <c r="B3311" s="4">
        <v>202577</v>
      </c>
      <c r="C3311" s="17">
        <v>44774</v>
      </c>
      <c r="D3311" s="4">
        <v>21</v>
      </c>
      <c r="E3311" t="str">
        <f t="shared" si="51"/>
        <v>1216-202577-44774</v>
      </c>
    </row>
    <row r="3312" spans="1:5" ht="14.25" customHeight="1">
      <c r="A3312" s="4">
        <v>1216</v>
      </c>
      <c r="B3312" s="4">
        <v>202577</v>
      </c>
      <c r="C3312" s="17">
        <v>44781</v>
      </c>
      <c r="D3312" s="4">
        <v>21</v>
      </c>
      <c r="E3312" t="str">
        <f t="shared" si="51"/>
        <v>1216-202577-44781</v>
      </c>
    </row>
    <row r="3313" spans="1:5" ht="14.25" customHeight="1">
      <c r="A3313" s="4">
        <v>1216</v>
      </c>
      <c r="B3313" s="4">
        <v>202577</v>
      </c>
      <c r="C3313" s="17">
        <v>44788</v>
      </c>
      <c r="D3313" s="4">
        <v>21</v>
      </c>
      <c r="E3313" t="str">
        <f t="shared" si="51"/>
        <v>1216-202577-44788</v>
      </c>
    </row>
    <row r="3314" spans="1:5" ht="14.25" customHeight="1">
      <c r="A3314" s="4">
        <v>1216</v>
      </c>
      <c r="B3314" s="4">
        <v>234334</v>
      </c>
      <c r="C3314" s="17">
        <v>44739</v>
      </c>
      <c r="D3314" s="4">
        <v>42</v>
      </c>
      <c r="E3314" t="str">
        <f t="shared" si="51"/>
        <v>1216-234334-44739</v>
      </c>
    </row>
    <row r="3315" spans="1:5" ht="14.25" customHeight="1">
      <c r="A3315" s="4">
        <v>1216</v>
      </c>
      <c r="B3315" s="4">
        <v>234334</v>
      </c>
      <c r="C3315" s="17">
        <v>44746</v>
      </c>
      <c r="D3315" s="4">
        <v>54</v>
      </c>
      <c r="E3315" t="str">
        <f t="shared" si="51"/>
        <v>1216-234334-44746</v>
      </c>
    </row>
    <row r="3316" spans="1:5" ht="14.25" customHeight="1">
      <c r="A3316" s="4">
        <v>1216</v>
      </c>
      <c r="B3316" s="4">
        <v>234334</v>
      </c>
      <c r="C3316" s="17">
        <v>44753</v>
      </c>
      <c r="D3316" s="4">
        <v>56</v>
      </c>
      <c r="E3316" t="str">
        <f t="shared" si="51"/>
        <v>1216-234334-44753</v>
      </c>
    </row>
    <row r="3317" spans="1:5" ht="14.25" customHeight="1">
      <c r="A3317" s="4">
        <v>1216</v>
      </c>
      <c r="B3317" s="4">
        <v>234334</v>
      </c>
      <c r="C3317" s="17">
        <v>44760</v>
      </c>
      <c r="D3317" s="4">
        <v>50</v>
      </c>
      <c r="E3317" t="str">
        <f t="shared" si="51"/>
        <v>1216-234334-44760</v>
      </c>
    </row>
    <row r="3318" spans="1:5" ht="14.25" customHeight="1">
      <c r="A3318" s="4">
        <v>1216</v>
      </c>
      <c r="B3318" s="4">
        <v>234334</v>
      </c>
      <c r="C3318" s="17">
        <v>44767</v>
      </c>
      <c r="D3318" s="4">
        <v>52</v>
      </c>
      <c r="E3318" t="str">
        <f t="shared" si="51"/>
        <v>1216-234334-44767</v>
      </c>
    </row>
    <row r="3319" spans="1:5" ht="14.25" customHeight="1">
      <c r="A3319" s="4">
        <v>1216</v>
      </c>
      <c r="B3319" s="4">
        <v>234334</v>
      </c>
      <c r="C3319" s="17">
        <v>44774</v>
      </c>
      <c r="D3319" s="4">
        <v>42</v>
      </c>
      <c r="E3319" t="str">
        <f t="shared" si="51"/>
        <v>1216-234334-44774</v>
      </c>
    </row>
    <row r="3320" spans="1:5" ht="14.25" customHeight="1">
      <c r="A3320" s="4">
        <v>1216</v>
      </c>
      <c r="B3320" s="4">
        <v>234334</v>
      </c>
      <c r="C3320" s="17">
        <v>44781</v>
      </c>
      <c r="D3320" s="4">
        <v>27</v>
      </c>
      <c r="E3320" t="str">
        <f t="shared" si="51"/>
        <v>1216-234334-44781</v>
      </c>
    </row>
    <row r="3321" spans="1:5" ht="14.25" customHeight="1">
      <c r="A3321" s="4">
        <v>1216</v>
      </c>
      <c r="B3321" s="4">
        <v>234334</v>
      </c>
      <c r="C3321" s="17">
        <v>44788</v>
      </c>
      <c r="D3321" s="4">
        <v>44</v>
      </c>
      <c r="E3321" t="str">
        <f t="shared" si="51"/>
        <v>1216-234334-44788</v>
      </c>
    </row>
    <row r="3322" spans="1:5" ht="14.25" customHeight="1">
      <c r="A3322" s="4">
        <v>1216</v>
      </c>
      <c r="B3322" s="4">
        <v>249444</v>
      </c>
      <c r="C3322" s="17">
        <v>44739</v>
      </c>
      <c r="D3322" s="4">
        <v>58</v>
      </c>
      <c r="E3322" t="str">
        <f t="shared" si="51"/>
        <v>1216-249444-44739</v>
      </c>
    </row>
    <row r="3323" spans="1:5" ht="14.25" customHeight="1">
      <c r="A3323" s="4">
        <v>1216</v>
      </c>
      <c r="B3323" s="4">
        <v>249444</v>
      </c>
      <c r="C3323" s="17">
        <v>44746</v>
      </c>
      <c r="D3323" s="4">
        <v>18</v>
      </c>
      <c r="E3323" t="str">
        <f t="shared" si="51"/>
        <v>1216-249444-44746</v>
      </c>
    </row>
    <row r="3324" spans="1:5" ht="14.25" customHeight="1">
      <c r="A3324" s="4">
        <v>1216</v>
      </c>
      <c r="B3324" s="4">
        <v>249444</v>
      </c>
      <c r="C3324" s="17">
        <v>44753</v>
      </c>
      <c r="D3324" s="4">
        <v>84</v>
      </c>
      <c r="E3324" t="str">
        <f t="shared" si="51"/>
        <v>1216-249444-44753</v>
      </c>
    </row>
    <row r="3325" spans="1:5" ht="14.25" customHeight="1">
      <c r="A3325" s="4">
        <v>1216</v>
      </c>
      <c r="B3325" s="4">
        <v>249444</v>
      </c>
      <c r="C3325" s="17">
        <v>44760</v>
      </c>
      <c r="D3325" s="4">
        <v>64</v>
      </c>
      <c r="E3325" t="str">
        <f t="shared" si="51"/>
        <v>1216-249444-44760</v>
      </c>
    </row>
    <row r="3326" spans="1:5" ht="14.25" customHeight="1">
      <c r="A3326" s="4">
        <v>1216</v>
      </c>
      <c r="B3326" s="4">
        <v>249444</v>
      </c>
      <c r="C3326" s="17">
        <v>44767</v>
      </c>
      <c r="D3326" s="4">
        <v>80</v>
      </c>
      <c r="E3326" t="str">
        <f t="shared" si="51"/>
        <v>1216-249444-44767</v>
      </c>
    </row>
    <row r="3327" spans="1:5" ht="14.25" customHeight="1">
      <c r="A3327" s="4">
        <v>1216</v>
      </c>
      <c r="B3327" s="4">
        <v>249444</v>
      </c>
      <c r="C3327" s="17">
        <v>44774</v>
      </c>
      <c r="D3327" s="4">
        <v>86</v>
      </c>
      <c r="E3327" t="str">
        <f t="shared" si="51"/>
        <v>1216-249444-44774</v>
      </c>
    </row>
    <row r="3328" spans="1:5" ht="14.25" customHeight="1">
      <c r="A3328" s="4">
        <v>1216</v>
      </c>
      <c r="B3328" s="4">
        <v>249444</v>
      </c>
      <c r="C3328" s="17">
        <v>44781</v>
      </c>
      <c r="D3328" s="4">
        <v>57</v>
      </c>
      <c r="E3328" t="str">
        <f t="shared" si="51"/>
        <v>1216-249444-44781</v>
      </c>
    </row>
    <row r="3329" spans="1:5" ht="14.25" customHeight="1">
      <c r="A3329" s="4">
        <v>1216</v>
      </c>
      <c r="B3329" s="4">
        <v>249444</v>
      </c>
      <c r="C3329" s="17">
        <v>44788</v>
      </c>
      <c r="D3329" s="4">
        <v>80</v>
      </c>
      <c r="E3329" t="str">
        <f t="shared" si="51"/>
        <v>1216-249444-44788</v>
      </c>
    </row>
    <row r="3330" spans="1:5" ht="14.25" customHeight="1">
      <c r="A3330" s="4">
        <v>1216</v>
      </c>
      <c r="B3330" s="4">
        <v>249795</v>
      </c>
      <c r="C3330" s="17">
        <v>44739</v>
      </c>
      <c r="D3330" s="4">
        <v>9</v>
      </c>
      <c r="E3330" t="str">
        <f t="shared" si="51"/>
        <v>1216-249795-44739</v>
      </c>
    </row>
    <row r="3331" spans="1:5" ht="14.25" customHeight="1">
      <c r="A3331" s="4">
        <v>1216</v>
      </c>
      <c r="B3331" s="4">
        <v>249795</v>
      </c>
      <c r="C3331" s="17">
        <v>44746</v>
      </c>
      <c r="D3331" s="4">
        <v>9</v>
      </c>
      <c r="E3331" t="str">
        <f t="shared" ref="E3331:E3394" si="52">A3331&amp;"-"&amp;B3331&amp;"-"&amp;INT(C3331)</f>
        <v>1216-249795-44746</v>
      </c>
    </row>
    <row r="3332" spans="1:5" ht="14.25" customHeight="1">
      <c r="A3332" s="4">
        <v>1216</v>
      </c>
      <c r="B3332" s="4">
        <v>249795</v>
      </c>
      <c r="C3332" s="17">
        <v>44753</v>
      </c>
      <c r="D3332" s="4">
        <v>9</v>
      </c>
      <c r="E3332" t="str">
        <f t="shared" si="52"/>
        <v>1216-249795-44753</v>
      </c>
    </row>
    <row r="3333" spans="1:5" ht="14.25" customHeight="1">
      <c r="A3333" s="4">
        <v>1216</v>
      </c>
      <c r="B3333" s="4">
        <v>249795</v>
      </c>
      <c r="C3333" s="17">
        <v>44760</v>
      </c>
      <c r="D3333" s="4">
        <v>9</v>
      </c>
      <c r="E3333" t="str">
        <f t="shared" si="52"/>
        <v>1216-249795-44760</v>
      </c>
    </row>
    <row r="3334" spans="1:5" ht="14.25" customHeight="1">
      <c r="A3334" s="4">
        <v>1216</v>
      </c>
      <c r="B3334" s="4">
        <v>249795</v>
      </c>
      <c r="C3334" s="17">
        <v>44767</v>
      </c>
      <c r="D3334" s="4">
        <v>9</v>
      </c>
      <c r="E3334" t="str">
        <f t="shared" si="52"/>
        <v>1216-249795-44767</v>
      </c>
    </row>
    <row r="3335" spans="1:5" ht="14.25" customHeight="1">
      <c r="A3335" s="4">
        <v>1216</v>
      </c>
      <c r="B3335" s="4">
        <v>249795</v>
      </c>
      <c r="C3335" s="17">
        <v>44774</v>
      </c>
      <c r="D3335" s="4">
        <v>9</v>
      </c>
      <c r="E3335" t="str">
        <f t="shared" si="52"/>
        <v>1216-249795-44774</v>
      </c>
    </row>
    <row r="3336" spans="1:5" ht="14.25" customHeight="1">
      <c r="A3336" s="4">
        <v>1216</v>
      </c>
      <c r="B3336" s="4">
        <v>249795</v>
      </c>
      <c r="C3336" s="17">
        <v>44781</v>
      </c>
      <c r="D3336" s="4">
        <v>9</v>
      </c>
      <c r="E3336" t="str">
        <f t="shared" si="52"/>
        <v>1216-249795-44781</v>
      </c>
    </row>
    <row r="3337" spans="1:5" ht="14.25" customHeight="1">
      <c r="A3337" s="4">
        <v>1216</v>
      </c>
      <c r="B3337" s="4">
        <v>249795</v>
      </c>
      <c r="C3337" s="17">
        <v>44788</v>
      </c>
      <c r="D3337" s="4">
        <v>9</v>
      </c>
      <c r="E3337" t="str">
        <f t="shared" si="52"/>
        <v>1216-249795-44788</v>
      </c>
    </row>
    <row r="3338" spans="1:5" ht="14.25" customHeight="1">
      <c r="A3338" s="4">
        <v>1216</v>
      </c>
      <c r="B3338" s="4">
        <v>250979</v>
      </c>
      <c r="C3338" s="17">
        <v>44739</v>
      </c>
      <c r="D3338" s="4">
        <v>24</v>
      </c>
      <c r="E3338" t="str">
        <f t="shared" si="52"/>
        <v>1216-250979-44739</v>
      </c>
    </row>
    <row r="3339" spans="1:5" ht="14.25" customHeight="1">
      <c r="A3339" s="4">
        <v>1216</v>
      </c>
      <c r="B3339" s="4">
        <v>250979</v>
      </c>
      <c r="C3339" s="17">
        <v>44746</v>
      </c>
      <c r="D3339" s="4">
        <v>24</v>
      </c>
      <c r="E3339" t="str">
        <f t="shared" si="52"/>
        <v>1216-250979-44746</v>
      </c>
    </row>
    <row r="3340" spans="1:5" ht="14.25" customHeight="1">
      <c r="A3340" s="4">
        <v>1216</v>
      </c>
      <c r="B3340" s="4">
        <v>250979</v>
      </c>
      <c r="C3340" s="17">
        <v>44753</v>
      </c>
      <c r="D3340" s="4">
        <v>17</v>
      </c>
      <c r="E3340" t="str">
        <f t="shared" si="52"/>
        <v>1216-250979-44753</v>
      </c>
    </row>
    <row r="3341" spans="1:5" ht="14.25" customHeight="1">
      <c r="A3341" s="4">
        <v>1216</v>
      </c>
      <c r="B3341" s="4">
        <v>250979</v>
      </c>
      <c r="C3341" s="17">
        <v>44760</v>
      </c>
      <c r="D3341" s="4">
        <v>25</v>
      </c>
      <c r="E3341" t="str">
        <f t="shared" si="52"/>
        <v>1216-250979-44760</v>
      </c>
    </row>
    <row r="3342" spans="1:5" ht="14.25" customHeight="1">
      <c r="A3342" s="4">
        <v>1216</v>
      </c>
      <c r="B3342" s="4">
        <v>250979</v>
      </c>
      <c r="C3342" s="17">
        <v>44767</v>
      </c>
      <c r="D3342" s="4">
        <v>23</v>
      </c>
      <c r="E3342" t="str">
        <f t="shared" si="52"/>
        <v>1216-250979-44767</v>
      </c>
    </row>
    <row r="3343" spans="1:5" ht="14.25" customHeight="1">
      <c r="A3343" s="4">
        <v>1216</v>
      </c>
      <c r="B3343" s="4">
        <v>250979</v>
      </c>
      <c r="C3343" s="17">
        <v>44774</v>
      </c>
      <c r="D3343" s="4">
        <v>20</v>
      </c>
      <c r="E3343" t="str">
        <f t="shared" si="52"/>
        <v>1216-250979-44774</v>
      </c>
    </row>
    <row r="3344" spans="1:5" ht="14.25" customHeight="1">
      <c r="A3344" s="4">
        <v>1216</v>
      </c>
      <c r="B3344" s="4">
        <v>250979</v>
      </c>
      <c r="C3344" s="17">
        <v>44781</v>
      </c>
      <c r="D3344" s="4">
        <v>24</v>
      </c>
      <c r="E3344" t="str">
        <f t="shared" si="52"/>
        <v>1216-250979-44781</v>
      </c>
    </row>
    <row r="3345" spans="1:5" ht="14.25" customHeight="1">
      <c r="A3345" s="4">
        <v>1216</v>
      </c>
      <c r="B3345" s="4">
        <v>250979</v>
      </c>
      <c r="C3345" s="17">
        <v>44788</v>
      </c>
      <c r="D3345" s="4">
        <v>24</v>
      </c>
      <c r="E3345" t="str">
        <f t="shared" si="52"/>
        <v>1216-250979-44788</v>
      </c>
    </row>
    <row r="3346" spans="1:5" ht="14.25" customHeight="1">
      <c r="A3346" s="4">
        <v>1216</v>
      </c>
      <c r="B3346" s="4">
        <v>250981</v>
      </c>
      <c r="C3346" s="17">
        <v>44739</v>
      </c>
      <c r="D3346" s="4">
        <v>3</v>
      </c>
      <c r="E3346" t="str">
        <f t="shared" si="52"/>
        <v>1216-250981-44739</v>
      </c>
    </row>
    <row r="3347" spans="1:5" ht="14.25" customHeight="1">
      <c r="A3347" s="4">
        <v>1216</v>
      </c>
      <c r="B3347" s="4">
        <v>250981</v>
      </c>
      <c r="C3347" s="17">
        <v>44746</v>
      </c>
      <c r="D3347" s="4">
        <v>8</v>
      </c>
      <c r="E3347" t="str">
        <f t="shared" si="52"/>
        <v>1216-250981-44746</v>
      </c>
    </row>
    <row r="3348" spans="1:5" ht="14.25" customHeight="1">
      <c r="A3348" s="4">
        <v>1216</v>
      </c>
      <c r="B3348" s="4">
        <v>250981</v>
      </c>
      <c r="C3348" s="17">
        <v>44753</v>
      </c>
      <c r="D3348" s="4">
        <v>8</v>
      </c>
      <c r="E3348" t="str">
        <f t="shared" si="52"/>
        <v>1216-250981-44753</v>
      </c>
    </row>
    <row r="3349" spans="1:5" ht="14.25" customHeight="1">
      <c r="A3349" s="4">
        <v>1216</v>
      </c>
      <c r="B3349" s="4">
        <v>250981</v>
      </c>
      <c r="C3349" s="17">
        <v>44760</v>
      </c>
      <c r="D3349" s="4">
        <v>8</v>
      </c>
      <c r="E3349" t="str">
        <f t="shared" si="52"/>
        <v>1216-250981-44760</v>
      </c>
    </row>
    <row r="3350" spans="1:5" ht="14.25" customHeight="1">
      <c r="A3350" s="4">
        <v>1216</v>
      </c>
      <c r="B3350" s="4">
        <v>250981</v>
      </c>
      <c r="C3350" s="17">
        <v>44767</v>
      </c>
      <c r="D3350" s="4">
        <v>8</v>
      </c>
      <c r="E3350" t="str">
        <f t="shared" si="52"/>
        <v>1216-250981-44767</v>
      </c>
    </row>
    <row r="3351" spans="1:5" ht="14.25" customHeight="1">
      <c r="A3351" s="4">
        <v>1216</v>
      </c>
      <c r="B3351" s="4">
        <v>250981</v>
      </c>
      <c r="C3351" s="17">
        <v>44774</v>
      </c>
      <c r="D3351" s="4">
        <v>8</v>
      </c>
      <c r="E3351" t="str">
        <f t="shared" si="52"/>
        <v>1216-250981-44774</v>
      </c>
    </row>
    <row r="3352" spans="1:5" ht="14.25" customHeight="1">
      <c r="A3352" s="4">
        <v>1216</v>
      </c>
      <c r="B3352" s="4">
        <v>250981</v>
      </c>
      <c r="C3352" s="17">
        <v>44781</v>
      </c>
      <c r="D3352" s="4">
        <v>6</v>
      </c>
      <c r="E3352" t="str">
        <f t="shared" si="52"/>
        <v>1216-250981-44781</v>
      </c>
    </row>
    <row r="3353" spans="1:5" ht="14.25" customHeight="1">
      <c r="A3353" s="4">
        <v>1216</v>
      </c>
      <c r="B3353" s="4">
        <v>250981</v>
      </c>
      <c r="C3353" s="17">
        <v>44788</v>
      </c>
      <c r="D3353" s="4">
        <v>6</v>
      </c>
      <c r="E3353" t="str">
        <f t="shared" si="52"/>
        <v>1216-250981-44788</v>
      </c>
    </row>
    <row r="3354" spans="1:5" ht="14.25" customHeight="1">
      <c r="A3354" s="4">
        <v>1216</v>
      </c>
      <c r="B3354" s="4">
        <v>262294</v>
      </c>
      <c r="C3354" s="17">
        <v>44739</v>
      </c>
      <c r="D3354" s="4">
        <v>22</v>
      </c>
      <c r="E3354" t="str">
        <f t="shared" si="52"/>
        <v>1216-262294-44739</v>
      </c>
    </row>
    <row r="3355" spans="1:5" ht="14.25" customHeight="1">
      <c r="A3355" s="4">
        <v>1216</v>
      </c>
      <c r="B3355" s="4">
        <v>262294</v>
      </c>
      <c r="C3355" s="17">
        <v>44746</v>
      </c>
      <c r="D3355" s="4">
        <v>20</v>
      </c>
      <c r="E3355" t="str">
        <f t="shared" si="52"/>
        <v>1216-262294-44746</v>
      </c>
    </row>
    <row r="3356" spans="1:5" ht="14.25" customHeight="1">
      <c r="A3356" s="4">
        <v>1216</v>
      </c>
      <c r="B3356" s="4">
        <v>262294</v>
      </c>
      <c r="C3356" s="17">
        <v>44753</v>
      </c>
      <c r="D3356" s="4">
        <v>18</v>
      </c>
      <c r="E3356" t="str">
        <f t="shared" si="52"/>
        <v>1216-262294-44753</v>
      </c>
    </row>
    <row r="3357" spans="1:5" ht="14.25" customHeight="1">
      <c r="A3357" s="4">
        <v>1216</v>
      </c>
      <c r="B3357" s="4">
        <v>262294</v>
      </c>
      <c r="C3357" s="17">
        <v>44760</v>
      </c>
      <c r="D3357" s="4">
        <v>11</v>
      </c>
      <c r="E3357" t="str">
        <f t="shared" si="52"/>
        <v>1216-262294-44760</v>
      </c>
    </row>
    <row r="3358" spans="1:5" ht="14.25" customHeight="1">
      <c r="A3358" s="4">
        <v>1216</v>
      </c>
      <c r="B3358" s="4">
        <v>262294</v>
      </c>
      <c r="C3358" s="17">
        <v>44767</v>
      </c>
      <c r="D3358" s="4">
        <v>18</v>
      </c>
      <c r="E3358" t="str">
        <f t="shared" si="52"/>
        <v>1216-262294-44767</v>
      </c>
    </row>
    <row r="3359" spans="1:5" ht="14.25" customHeight="1">
      <c r="A3359" s="4">
        <v>1216</v>
      </c>
      <c r="B3359" s="4">
        <v>262294</v>
      </c>
      <c r="C3359" s="17">
        <v>44774</v>
      </c>
      <c r="D3359" s="4">
        <v>18</v>
      </c>
      <c r="E3359" t="str">
        <f t="shared" si="52"/>
        <v>1216-262294-44774</v>
      </c>
    </row>
    <row r="3360" spans="1:5" ht="14.25" customHeight="1">
      <c r="A3360" s="4">
        <v>1216</v>
      </c>
      <c r="B3360" s="4">
        <v>262294</v>
      </c>
      <c r="C3360" s="17">
        <v>44781</v>
      </c>
      <c r="D3360" s="4">
        <v>20</v>
      </c>
      <c r="E3360" t="str">
        <f t="shared" si="52"/>
        <v>1216-262294-44781</v>
      </c>
    </row>
    <row r="3361" spans="1:5" ht="14.25" customHeight="1">
      <c r="A3361" s="4">
        <v>1216</v>
      </c>
      <c r="B3361" s="4">
        <v>262294</v>
      </c>
      <c r="C3361" s="17">
        <v>44788</v>
      </c>
      <c r="D3361" s="4">
        <v>22</v>
      </c>
      <c r="E3361" t="str">
        <f t="shared" si="52"/>
        <v>1216-262294-44788</v>
      </c>
    </row>
    <row r="3362" spans="1:5" ht="14.25" customHeight="1">
      <c r="A3362" s="4">
        <v>1216</v>
      </c>
      <c r="B3362" s="4">
        <v>268831</v>
      </c>
      <c r="C3362" s="17">
        <v>44739</v>
      </c>
      <c r="D3362" s="4">
        <v>65</v>
      </c>
      <c r="E3362" t="str">
        <f t="shared" si="52"/>
        <v>1216-268831-44739</v>
      </c>
    </row>
    <row r="3363" spans="1:5" ht="14.25" customHeight="1">
      <c r="A3363" s="4">
        <v>1216</v>
      </c>
      <c r="B3363" s="4">
        <v>268831</v>
      </c>
      <c r="C3363" s="17">
        <v>44746</v>
      </c>
      <c r="D3363" s="4">
        <v>54</v>
      </c>
      <c r="E3363" t="str">
        <f t="shared" si="52"/>
        <v>1216-268831-44746</v>
      </c>
    </row>
    <row r="3364" spans="1:5" ht="14.25" customHeight="1">
      <c r="A3364" s="4">
        <v>1216</v>
      </c>
      <c r="B3364" s="4">
        <v>268831</v>
      </c>
      <c r="C3364" s="17">
        <v>44753</v>
      </c>
      <c r="D3364" s="4">
        <v>63</v>
      </c>
      <c r="E3364" t="str">
        <f t="shared" si="52"/>
        <v>1216-268831-44753</v>
      </c>
    </row>
    <row r="3365" spans="1:5" ht="14.25" customHeight="1">
      <c r="A3365" s="4">
        <v>1216</v>
      </c>
      <c r="B3365" s="4">
        <v>268831</v>
      </c>
      <c r="C3365" s="17">
        <v>44760</v>
      </c>
      <c r="D3365" s="4">
        <v>42</v>
      </c>
      <c r="E3365" t="str">
        <f t="shared" si="52"/>
        <v>1216-268831-44760</v>
      </c>
    </row>
    <row r="3366" spans="1:5" ht="14.25" customHeight="1">
      <c r="A3366" s="4">
        <v>1216</v>
      </c>
      <c r="B3366" s="4">
        <v>268831</v>
      </c>
      <c r="C3366" s="17">
        <v>44767</v>
      </c>
      <c r="D3366" s="4">
        <v>29</v>
      </c>
      <c r="E3366" t="str">
        <f t="shared" si="52"/>
        <v>1216-268831-44767</v>
      </c>
    </row>
    <row r="3367" spans="1:5" ht="14.25" customHeight="1">
      <c r="A3367" s="4">
        <v>1216</v>
      </c>
      <c r="B3367" s="4">
        <v>268831</v>
      </c>
      <c r="C3367" s="17">
        <v>44774</v>
      </c>
      <c r="D3367" s="4">
        <v>22</v>
      </c>
      <c r="E3367" t="str">
        <f t="shared" si="52"/>
        <v>1216-268831-44774</v>
      </c>
    </row>
    <row r="3368" spans="1:5" ht="14.25" customHeight="1">
      <c r="A3368" s="4">
        <v>1216</v>
      </c>
      <c r="B3368" s="4">
        <v>268831</v>
      </c>
      <c r="C3368" s="17">
        <v>44781</v>
      </c>
      <c r="D3368" s="4">
        <v>50</v>
      </c>
      <c r="E3368" t="str">
        <f t="shared" si="52"/>
        <v>1216-268831-44781</v>
      </c>
    </row>
    <row r="3369" spans="1:5" ht="14.25" customHeight="1">
      <c r="A3369" s="4">
        <v>1216</v>
      </c>
      <c r="B3369" s="4">
        <v>268831</v>
      </c>
      <c r="C3369" s="17">
        <v>44788</v>
      </c>
      <c r="D3369" s="4">
        <v>50</v>
      </c>
      <c r="E3369" t="str">
        <f t="shared" si="52"/>
        <v>1216-268831-44788</v>
      </c>
    </row>
    <row r="3370" spans="1:5" ht="14.25" customHeight="1">
      <c r="A3370" s="4">
        <v>1216</v>
      </c>
      <c r="B3370" s="4">
        <v>273701</v>
      </c>
      <c r="C3370" s="17">
        <v>44739</v>
      </c>
      <c r="D3370" s="4">
        <v>28</v>
      </c>
      <c r="E3370" t="str">
        <f t="shared" si="52"/>
        <v>1216-273701-44739</v>
      </c>
    </row>
    <row r="3371" spans="1:5" ht="14.25" customHeight="1">
      <c r="A3371" s="4">
        <v>1216</v>
      </c>
      <c r="B3371" s="4">
        <v>273701</v>
      </c>
      <c r="C3371" s="17">
        <v>44746</v>
      </c>
      <c r="D3371" s="4">
        <v>30</v>
      </c>
      <c r="E3371" t="str">
        <f t="shared" si="52"/>
        <v>1216-273701-44746</v>
      </c>
    </row>
    <row r="3372" spans="1:5" ht="14.25" customHeight="1">
      <c r="A3372" s="4">
        <v>1216</v>
      </c>
      <c r="B3372" s="4">
        <v>273701</v>
      </c>
      <c r="C3372" s="17">
        <v>44753</v>
      </c>
      <c r="D3372" s="4">
        <v>30</v>
      </c>
      <c r="E3372" t="str">
        <f t="shared" si="52"/>
        <v>1216-273701-44753</v>
      </c>
    </row>
    <row r="3373" spans="1:5" ht="14.25" customHeight="1">
      <c r="A3373" s="4">
        <v>1216</v>
      </c>
      <c r="B3373" s="4">
        <v>273701</v>
      </c>
      <c r="C3373" s="17">
        <v>44760</v>
      </c>
      <c r="D3373" s="4">
        <v>36</v>
      </c>
      <c r="E3373" t="str">
        <f t="shared" si="52"/>
        <v>1216-273701-44760</v>
      </c>
    </row>
    <row r="3374" spans="1:5" ht="14.25" customHeight="1">
      <c r="A3374" s="4">
        <v>1216</v>
      </c>
      <c r="B3374" s="4">
        <v>273701</v>
      </c>
      <c r="C3374" s="17">
        <v>44767</v>
      </c>
      <c r="D3374" s="4">
        <v>30</v>
      </c>
      <c r="E3374" t="str">
        <f t="shared" si="52"/>
        <v>1216-273701-44767</v>
      </c>
    </row>
    <row r="3375" spans="1:5" ht="14.25" customHeight="1">
      <c r="A3375" s="4">
        <v>1216</v>
      </c>
      <c r="B3375" s="4">
        <v>273701</v>
      </c>
      <c r="C3375" s="17">
        <v>44774</v>
      </c>
      <c r="D3375" s="4">
        <v>12</v>
      </c>
      <c r="E3375" t="str">
        <f t="shared" si="52"/>
        <v>1216-273701-44774</v>
      </c>
    </row>
    <row r="3376" spans="1:5" ht="14.25" customHeight="1">
      <c r="A3376" s="4">
        <v>1216</v>
      </c>
      <c r="B3376" s="4">
        <v>273701</v>
      </c>
      <c r="C3376" s="17">
        <v>44781</v>
      </c>
      <c r="D3376" s="4">
        <v>11</v>
      </c>
      <c r="E3376" t="str">
        <f t="shared" si="52"/>
        <v>1216-273701-44781</v>
      </c>
    </row>
    <row r="3377" spans="1:5" ht="14.25" customHeight="1">
      <c r="A3377" s="4">
        <v>1216</v>
      </c>
      <c r="B3377" s="4">
        <v>273701</v>
      </c>
      <c r="C3377" s="17">
        <v>44788</v>
      </c>
      <c r="D3377" s="4">
        <v>7</v>
      </c>
      <c r="E3377" t="str">
        <f t="shared" si="52"/>
        <v>1216-273701-44788</v>
      </c>
    </row>
    <row r="3378" spans="1:5" ht="14.25" customHeight="1">
      <c r="A3378" s="4">
        <v>1216</v>
      </c>
      <c r="B3378" s="4">
        <v>291726</v>
      </c>
      <c r="C3378" s="17">
        <v>44739</v>
      </c>
      <c r="D3378" s="4">
        <v>48</v>
      </c>
      <c r="E3378" t="str">
        <f t="shared" si="52"/>
        <v>1216-291726-44739</v>
      </c>
    </row>
    <row r="3379" spans="1:5" ht="14.25" customHeight="1">
      <c r="A3379" s="4">
        <v>1216</v>
      </c>
      <c r="B3379" s="4">
        <v>291726</v>
      </c>
      <c r="C3379" s="17">
        <v>44746</v>
      </c>
      <c r="D3379" s="4">
        <v>54</v>
      </c>
      <c r="E3379" t="str">
        <f t="shared" si="52"/>
        <v>1216-291726-44746</v>
      </c>
    </row>
    <row r="3380" spans="1:5" ht="14.25" customHeight="1">
      <c r="A3380" s="4">
        <v>1216</v>
      </c>
      <c r="B3380" s="4">
        <v>291726</v>
      </c>
      <c r="C3380" s="17">
        <v>44753</v>
      </c>
      <c r="D3380" s="4">
        <v>24</v>
      </c>
      <c r="E3380" t="str">
        <f t="shared" si="52"/>
        <v>1216-291726-44753</v>
      </c>
    </row>
    <row r="3381" spans="1:5" ht="14.25" customHeight="1">
      <c r="A3381" s="4">
        <v>1216</v>
      </c>
      <c r="B3381" s="4">
        <v>291726</v>
      </c>
      <c r="C3381" s="17">
        <v>44760</v>
      </c>
      <c r="D3381" s="4">
        <v>65</v>
      </c>
      <c r="E3381" t="str">
        <f t="shared" si="52"/>
        <v>1216-291726-44760</v>
      </c>
    </row>
    <row r="3382" spans="1:5" ht="14.25" customHeight="1">
      <c r="A3382" s="4">
        <v>1216</v>
      </c>
      <c r="B3382" s="4">
        <v>291726</v>
      </c>
      <c r="C3382" s="17">
        <v>44767</v>
      </c>
      <c r="D3382" s="4">
        <v>56</v>
      </c>
      <c r="E3382" t="str">
        <f t="shared" si="52"/>
        <v>1216-291726-44767</v>
      </c>
    </row>
    <row r="3383" spans="1:5" ht="14.25" customHeight="1">
      <c r="A3383" s="4">
        <v>1216</v>
      </c>
      <c r="B3383" s="4">
        <v>291726</v>
      </c>
      <c r="C3383" s="17">
        <v>44774</v>
      </c>
      <c r="D3383" s="4">
        <v>24</v>
      </c>
      <c r="E3383" t="str">
        <f t="shared" si="52"/>
        <v>1216-291726-44774</v>
      </c>
    </row>
    <row r="3384" spans="1:5" ht="14.25" customHeight="1">
      <c r="A3384" s="4">
        <v>1216</v>
      </c>
      <c r="B3384" s="4">
        <v>291726</v>
      </c>
      <c r="C3384" s="17">
        <v>44781</v>
      </c>
      <c r="D3384" s="4">
        <v>23</v>
      </c>
      <c r="E3384" t="str">
        <f t="shared" si="52"/>
        <v>1216-291726-44781</v>
      </c>
    </row>
    <row r="3385" spans="1:5" ht="14.25" customHeight="1">
      <c r="A3385" s="4">
        <v>1216</v>
      </c>
      <c r="B3385" s="4">
        <v>291726</v>
      </c>
      <c r="C3385" s="17">
        <v>44788</v>
      </c>
      <c r="D3385" s="4">
        <v>55</v>
      </c>
      <c r="E3385" t="str">
        <f t="shared" si="52"/>
        <v>1216-291726-44788</v>
      </c>
    </row>
    <row r="3386" spans="1:5" ht="14.25" customHeight="1">
      <c r="A3386" s="4">
        <v>1216</v>
      </c>
      <c r="B3386" s="4">
        <v>291728</v>
      </c>
      <c r="C3386" s="17">
        <v>44739</v>
      </c>
      <c r="D3386" s="4">
        <v>15</v>
      </c>
      <c r="E3386" t="str">
        <f t="shared" si="52"/>
        <v>1216-291728-44739</v>
      </c>
    </row>
    <row r="3387" spans="1:5" ht="14.25" customHeight="1">
      <c r="A3387" s="4">
        <v>1216</v>
      </c>
      <c r="B3387" s="4">
        <v>291728</v>
      </c>
      <c r="C3387" s="17">
        <v>44746</v>
      </c>
      <c r="D3387" s="4">
        <v>22</v>
      </c>
      <c r="E3387" t="str">
        <f t="shared" si="52"/>
        <v>1216-291728-44746</v>
      </c>
    </row>
    <row r="3388" spans="1:5" ht="14.25" customHeight="1">
      <c r="A3388" s="4">
        <v>1216</v>
      </c>
      <c r="B3388" s="4">
        <v>291728</v>
      </c>
      <c r="C3388" s="17">
        <v>44753</v>
      </c>
      <c r="D3388" s="4">
        <v>15</v>
      </c>
      <c r="E3388" t="str">
        <f t="shared" si="52"/>
        <v>1216-291728-44753</v>
      </c>
    </row>
    <row r="3389" spans="1:5" ht="14.25" customHeight="1">
      <c r="A3389" s="4">
        <v>1216</v>
      </c>
      <c r="B3389" s="4">
        <v>291728</v>
      </c>
      <c r="C3389" s="17">
        <v>44760</v>
      </c>
      <c r="D3389" s="4">
        <v>23</v>
      </c>
      <c r="E3389" t="str">
        <f t="shared" si="52"/>
        <v>1216-291728-44760</v>
      </c>
    </row>
    <row r="3390" spans="1:5" ht="14.25" customHeight="1">
      <c r="A3390" s="4">
        <v>1216</v>
      </c>
      <c r="B3390" s="4">
        <v>291728</v>
      </c>
      <c r="C3390" s="17">
        <v>44767</v>
      </c>
      <c r="D3390" s="4">
        <v>3</v>
      </c>
      <c r="E3390" t="str">
        <f t="shared" si="52"/>
        <v>1216-291728-44767</v>
      </c>
    </row>
    <row r="3391" spans="1:5" ht="14.25" customHeight="1">
      <c r="A3391" s="4">
        <v>1216</v>
      </c>
      <c r="B3391" s="4">
        <v>291728</v>
      </c>
      <c r="C3391" s="17">
        <v>44774</v>
      </c>
      <c r="D3391" s="4">
        <v>14</v>
      </c>
      <c r="E3391" t="str">
        <f t="shared" si="52"/>
        <v>1216-291728-44774</v>
      </c>
    </row>
    <row r="3392" spans="1:5" ht="14.25" customHeight="1">
      <c r="A3392" s="4">
        <v>1216</v>
      </c>
      <c r="B3392" s="4">
        <v>291728</v>
      </c>
      <c r="C3392" s="17">
        <v>44781</v>
      </c>
      <c r="D3392" s="4">
        <v>15</v>
      </c>
      <c r="E3392" t="str">
        <f t="shared" si="52"/>
        <v>1216-291728-44781</v>
      </c>
    </row>
    <row r="3393" spans="1:5" ht="14.25" customHeight="1">
      <c r="A3393" s="4">
        <v>1216</v>
      </c>
      <c r="B3393" s="4">
        <v>291728</v>
      </c>
      <c r="C3393" s="17">
        <v>44788</v>
      </c>
      <c r="D3393" s="4">
        <v>3</v>
      </c>
      <c r="E3393" t="str">
        <f t="shared" si="52"/>
        <v>1216-291728-44788</v>
      </c>
    </row>
    <row r="3394" spans="1:5" ht="14.25" customHeight="1">
      <c r="A3394" s="4">
        <v>1216</v>
      </c>
      <c r="B3394" s="4">
        <v>300380</v>
      </c>
      <c r="C3394" s="17">
        <v>44739</v>
      </c>
      <c r="D3394" s="4">
        <v>44</v>
      </c>
      <c r="E3394" t="str">
        <f t="shared" si="52"/>
        <v>1216-300380-44739</v>
      </c>
    </row>
    <row r="3395" spans="1:5" ht="14.25" customHeight="1">
      <c r="A3395" s="4">
        <v>1216</v>
      </c>
      <c r="B3395" s="4">
        <v>300380</v>
      </c>
      <c r="C3395" s="17">
        <v>44746</v>
      </c>
      <c r="D3395" s="4">
        <v>21</v>
      </c>
      <c r="E3395" t="str">
        <f t="shared" ref="E3395:E3458" si="53">A3395&amp;"-"&amp;B3395&amp;"-"&amp;INT(C3395)</f>
        <v>1216-300380-44746</v>
      </c>
    </row>
    <row r="3396" spans="1:5" ht="14.25" customHeight="1">
      <c r="A3396" s="4">
        <v>1216</v>
      </c>
      <c r="B3396" s="4">
        <v>300380</v>
      </c>
      <c r="C3396" s="17">
        <v>44753</v>
      </c>
      <c r="D3396" s="4">
        <v>60</v>
      </c>
      <c r="E3396" t="str">
        <f t="shared" si="53"/>
        <v>1216-300380-44753</v>
      </c>
    </row>
    <row r="3397" spans="1:5" ht="14.25" customHeight="1">
      <c r="A3397" s="4">
        <v>1216</v>
      </c>
      <c r="B3397" s="4">
        <v>300380</v>
      </c>
      <c r="C3397" s="17">
        <v>44760</v>
      </c>
      <c r="D3397" s="4">
        <v>54</v>
      </c>
      <c r="E3397" t="str">
        <f t="shared" si="53"/>
        <v>1216-300380-44760</v>
      </c>
    </row>
    <row r="3398" spans="1:5" ht="14.25" customHeight="1">
      <c r="A3398" s="4">
        <v>1216</v>
      </c>
      <c r="B3398" s="4">
        <v>300380</v>
      </c>
      <c r="C3398" s="17">
        <v>44767</v>
      </c>
      <c r="D3398" s="4">
        <v>62</v>
      </c>
      <c r="E3398" t="str">
        <f t="shared" si="53"/>
        <v>1216-300380-44767</v>
      </c>
    </row>
    <row r="3399" spans="1:5" ht="14.25" customHeight="1">
      <c r="A3399" s="4">
        <v>1216</v>
      </c>
      <c r="B3399" s="4">
        <v>300380</v>
      </c>
      <c r="C3399" s="17">
        <v>44774</v>
      </c>
      <c r="D3399" s="4">
        <v>42</v>
      </c>
      <c r="E3399" t="str">
        <f t="shared" si="53"/>
        <v>1216-300380-44774</v>
      </c>
    </row>
    <row r="3400" spans="1:5" ht="14.25" customHeight="1">
      <c r="A3400" s="4">
        <v>1216</v>
      </c>
      <c r="B3400" s="4">
        <v>300380</v>
      </c>
      <c r="C3400" s="17">
        <v>44781</v>
      </c>
      <c r="D3400" s="4">
        <v>42</v>
      </c>
      <c r="E3400" t="str">
        <f t="shared" si="53"/>
        <v>1216-300380-44781</v>
      </c>
    </row>
    <row r="3401" spans="1:5" ht="14.25" customHeight="1">
      <c r="A3401" s="4">
        <v>1216</v>
      </c>
      <c r="B3401" s="4">
        <v>300380</v>
      </c>
      <c r="C3401" s="17">
        <v>44788</v>
      </c>
      <c r="D3401" s="4">
        <v>44</v>
      </c>
      <c r="E3401" t="str">
        <f t="shared" si="53"/>
        <v>1216-300380-44788</v>
      </c>
    </row>
    <row r="3402" spans="1:5" ht="14.25" customHeight="1">
      <c r="A3402" s="4">
        <v>1216</v>
      </c>
      <c r="B3402" s="4">
        <v>614993</v>
      </c>
      <c r="C3402" s="17">
        <v>44739</v>
      </c>
      <c r="D3402" s="4">
        <v>29</v>
      </c>
      <c r="E3402" t="str">
        <f t="shared" si="53"/>
        <v>1216-614993-44739</v>
      </c>
    </row>
    <row r="3403" spans="1:5" ht="14.25" customHeight="1">
      <c r="A3403" s="4">
        <v>1216</v>
      </c>
      <c r="B3403" s="4">
        <v>614993</v>
      </c>
      <c r="C3403" s="17">
        <v>44746</v>
      </c>
      <c r="D3403" s="4">
        <v>24</v>
      </c>
      <c r="E3403" t="str">
        <f t="shared" si="53"/>
        <v>1216-614993-44746</v>
      </c>
    </row>
    <row r="3404" spans="1:5" ht="14.25" customHeight="1">
      <c r="A3404" s="4">
        <v>1216</v>
      </c>
      <c r="B3404" s="4">
        <v>614993</v>
      </c>
      <c r="C3404" s="17">
        <v>44753</v>
      </c>
      <c r="D3404" s="4">
        <v>24</v>
      </c>
      <c r="E3404" t="str">
        <f t="shared" si="53"/>
        <v>1216-614993-44753</v>
      </c>
    </row>
    <row r="3405" spans="1:5" ht="14.25" customHeight="1">
      <c r="A3405" s="4">
        <v>1216</v>
      </c>
      <c r="B3405" s="4">
        <v>614993</v>
      </c>
      <c r="C3405" s="17">
        <v>44760</v>
      </c>
      <c r="D3405" s="4">
        <v>11</v>
      </c>
      <c r="E3405" t="str">
        <f t="shared" si="53"/>
        <v>1216-614993-44760</v>
      </c>
    </row>
    <row r="3406" spans="1:5" ht="14.25" customHeight="1">
      <c r="A3406" s="4">
        <v>1216</v>
      </c>
      <c r="B3406" s="4">
        <v>614993</v>
      </c>
      <c r="C3406" s="17">
        <v>44767</v>
      </c>
      <c r="D3406" s="4">
        <v>18</v>
      </c>
      <c r="E3406" t="str">
        <f t="shared" si="53"/>
        <v>1216-614993-44767</v>
      </c>
    </row>
    <row r="3407" spans="1:5" ht="14.25" customHeight="1">
      <c r="A3407" s="4">
        <v>1216</v>
      </c>
      <c r="B3407" s="4">
        <v>614993</v>
      </c>
      <c r="C3407" s="17">
        <v>44774</v>
      </c>
      <c r="D3407" s="4">
        <v>26</v>
      </c>
      <c r="E3407" t="str">
        <f t="shared" si="53"/>
        <v>1216-614993-44774</v>
      </c>
    </row>
    <row r="3408" spans="1:5" ht="14.25" customHeight="1">
      <c r="A3408" s="4">
        <v>1216</v>
      </c>
      <c r="B3408" s="4">
        <v>614993</v>
      </c>
      <c r="C3408" s="17">
        <v>44781</v>
      </c>
      <c r="D3408" s="4">
        <v>29</v>
      </c>
      <c r="E3408" t="str">
        <f t="shared" si="53"/>
        <v>1216-614993-44781</v>
      </c>
    </row>
    <row r="3409" spans="1:5" ht="14.25" customHeight="1">
      <c r="A3409" s="4">
        <v>1216</v>
      </c>
      <c r="B3409" s="4">
        <v>614993</v>
      </c>
      <c r="C3409" s="17">
        <v>44788</v>
      </c>
      <c r="D3409" s="4">
        <v>33</v>
      </c>
      <c r="E3409" t="str">
        <f t="shared" si="53"/>
        <v>1216-614993-44788</v>
      </c>
    </row>
    <row r="3410" spans="1:5" ht="14.25" customHeight="1">
      <c r="A3410" s="4">
        <v>1218</v>
      </c>
      <c r="B3410" s="4">
        <v>23393</v>
      </c>
      <c r="C3410" s="17">
        <v>32874</v>
      </c>
      <c r="D3410" s="4">
        <v>57</v>
      </c>
      <c r="E3410" t="str">
        <f t="shared" si="53"/>
        <v>1218-23393-32874</v>
      </c>
    </row>
    <row r="3411" spans="1:5" ht="14.25" customHeight="1">
      <c r="A3411" s="4">
        <v>1218</v>
      </c>
      <c r="B3411" s="4">
        <v>23393</v>
      </c>
      <c r="C3411" s="17">
        <v>44739</v>
      </c>
      <c r="D3411" s="4">
        <v>144</v>
      </c>
      <c r="E3411" t="str">
        <f t="shared" si="53"/>
        <v>1218-23393-44739</v>
      </c>
    </row>
    <row r="3412" spans="1:5" ht="14.25" customHeight="1">
      <c r="A3412" s="4">
        <v>1218</v>
      </c>
      <c r="B3412" s="4">
        <v>23393</v>
      </c>
      <c r="C3412" s="17">
        <v>44746</v>
      </c>
      <c r="D3412" s="4">
        <v>131</v>
      </c>
      <c r="E3412" t="str">
        <f t="shared" si="53"/>
        <v>1218-23393-44746</v>
      </c>
    </row>
    <row r="3413" spans="1:5" ht="14.25" customHeight="1">
      <c r="A3413" s="4">
        <v>1218</v>
      </c>
      <c r="B3413" s="4">
        <v>23393</v>
      </c>
      <c r="C3413" s="17">
        <v>44753</v>
      </c>
      <c r="D3413" s="4">
        <v>181</v>
      </c>
      <c r="E3413" t="str">
        <f t="shared" si="53"/>
        <v>1218-23393-44753</v>
      </c>
    </row>
    <row r="3414" spans="1:5" ht="14.25" customHeight="1">
      <c r="A3414" s="4">
        <v>1218</v>
      </c>
      <c r="B3414" s="4">
        <v>23393</v>
      </c>
      <c r="C3414" s="17">
        <v>44760</v>
      </c>
      <c r="D3414" s="4">
        <v>96</v>
      </c>
      <c r="E3414" t="str">
        <f t="shared" si="53"/>
        <v>1218-23393-44760</v>
      </c>
    </row>
    <row r="3415" spans="1:5" ht="14.25" customHeight="1">
      <c r="A3415" s="4">
        <v>1218</v>
      </c>
      <c r="B3415" s="4">
        <v>23393</v>
      </c>
      <c r="C3415" s="17">
        <v>44767</v>
      </c>
      <c r="D3415" s="4">
        <v>125</v>
      </c>
      <c r="E3415" t="str">
        <f t="shared" si="53"/>
        <v>1218-23393-44767</v>
      </c>
    </row>
    <row r="3416" spans="1:5" ht="14.25" customHeight="1">
      <c r="A3416" s="4">
        <v>1218</v>
      </c>
      <c r="B3416" s="4">
        <v>23393</v>
      </c>
      <c r="C3416" s="17">
        <v>44774</v>
      </c>
      <c r="D3416" s="4">
        <v>59</v>
      </c>
      <c r="E3416" t="str">
        <f t="shared" si="53"/>
        <v>1218-23393-44774</v>
      </c>
    </row>
    <row r="3417" spans="1:5" ht="14.25" customHeight="1">
      <c r="A3417" s="4">
        <v>1218</v>
      </c>
      <c r="B3417" s="4">
        <v>23393</v>
      </c>
      <c r="C3417" s="17">
        <v>44781</v>
      </c>
      <c r="D3417" s="4">
        <v>54</v>
      </c>
      <c r="E3417" t="str">
        <f t="shared" si="53"/>
        <v>1218-23393-44781</v>
      </c>
    </row>
    <row r="3418" spans="1:5" ht="14.25" customHeight="1">
      <c r="A3418" s="4">
        <v>1218</v>
      </c>
      <c r="B3418" s="4">
        <v>23393</v>
      </c>
      <c r="C3418" s="17">
        <v>44788</v>
      </c>
      <c r="D3418" s="4">
        <v>158</v>
      </c>
      <c r="E3418" t="str">
        <f t="shared" si="53"/>
        <v>1218-23393-44788</v>
      </c>
    </row>
    <row r="3419" spans="1:5" ht="14.25" customHeight="1">
      <c r="A3419" s="4">
        <v>1218</v>
      </c>
      <c r="B3419" s="4">
        <v>26764</v>
      </c>
      <c r="C3419" s="17">
        <v>44739</v>
      </c>
      <c r="D3419" s="4">
        <v>29</v>
      </c>
      <c r="E3419" t="str">
        <f t="shared" si="53"/>
        <v>1218-26764-44739</v>
      </c>
    </row>
    <row r="3420" spans="1:5" ht="14.25" customHeight="1">
      <c r="A3420" s="4">
        <v>1218</v>
      </c>
      <c r="B3420" s="4">
        <v>26764</v>
      </c>
      <c r="C3420" s="17">
        <v>44746</v>
      </c>
      <c r="D3420" s="4">
        <v>95</v>
      </c>
      <c r="E3420" t="str">
        <f t="shared" si="53"/>
        <v>1218-26764-44746</v>
      </c>
    </row>
    <row r="3421" spans="1:5" ht="14.25" customHeight="1">
      <c r="A3421" s="4">
        <v>1218</v>
      </c>
      <c r="B3421" s="4">
        <v>26764</v>
      </c>
      <c r="C3421" s="17">
        <v>44753</v>
      </c>
      <c r="D3421" s="4">
        <v>119</v>
      </c>
      <c r="E3421" t="str">
        <f t="shared" si="53"/>
        <v>1218-26764-44753</v>
      </c>
    </row>
    <row r="3422" spans="1:5" ht="14.25" customHeight="1">
      <c r="A3422" s="4">
        <v>1218</v>
      </c>
      <c r="B3422" s="4">
        <v>26764</v>
      </c>
      <c r="C3422" s="17">
        <v>44760</v>
      </c>
      <c r="D3422" s="4">
        <v>84</v>
      </c>
      <c r="E3422" t="str">
        <f t="shared" si="53"/>
        <v>1218-26764-44760</v>
      </c>
    </row>
    <row r="3423" spans="1:5" ht="14.25" customHeight="1">
      <c r="A3423" s="4">
        <v>1218</v>
      </c>
      <c r="B3423" s="4">
        <v>26764</v>
      </c>
      <c r="C3423" s="17">
        <v>44767</v>
      </c>
      <c r="D3423" s="4">
        <v>74</v>
      </c>
      <c r="E3423" t="str">
        <f t="shared" si="53"/>
        <v>1218-26764-44767</v>
      </c>
    </row>
    <row r="3424" spans="1:5" ht="14.25" customHeight="1">
      <c r="A3424" s="4">
        <v>1218</v>
      </c>
      <c r="B3424" s="4">
        <v>26764</v>
      </c>
      <c r="C3424" s="17">
        <v>44774</v>
      </c>
      <c r="D3424" s="4">
        <v>92</v>
      </c>
      <c r="E3424" t="str">
        <f t="shared" si="53"/>
        <v>1218-26764-44774</v>
      </c>
    </row>
    <row r="3425" spans="1:5" ht="14.25" customHeight="1">
      <c r="A3425" s="4">
        <v>1218</v>
      </c>
      <c r="B3425" s="4">
        <v>26764</v>
      </c>
      <c r="C3425" s="17">
        <v>44781</v>
      </c>
      <c r="D3425" s="4">
        <v>33</v>
      </c>
      <c r="E3425" t="str">
        <f t="shared" si="53"/>
        <v>1218-26764-44781</v>
      </c>
    </row>
    <row r="3426" spans="1:5" ht="14.25" customHeight="1">
      <c r="A3426" s="4">
        <v>1218</v>
      </c>
      <c r="B3426" s="4">
        <v>26764</v>
      </c>
      <c r="C3426" s="17">
        <v>44788</v>
      </c>
      <c r="D3426" s="4">
        <v>82</v>
      </c>
      <c r="E3426" t="str">
        <f t="shared" si="53"/>
        <v>1218-26764-44788</v>
      </c>
    </row>
    <row r="3427" spans="1:5" ht="14.25" customHeight="1">
      <c r="A3427" s="4">
        <v>1218</v>
      </c>
      <c r="B3427" s="4">
        <v>53934</v>
      </c>
      <c r="C3427" s="17">
        <v>44739</v>
      </c>
      <c r="D3427" s="4">
        <v>169</v>
      </c>
      <c r="E3427" t="str">
        <f t="shared" si="53"/>
        <v>1218-53934-44739</v>
      </c>
    </row>
    <row r="3428" spans="1:5" ht="14.25" customHeight="1">
      <c r="A3428" s="4">
        <v>1218</v>
      </c>
      <c r="B3428" s="4">
        <v>53934</v>
      </c>
      <c r="C3428" s="17">
        <v>44746</v>
      </c>
      <c r="D3428" s="4">
        <v>190</v>
      </c>
      <c r="E3428" t="str">
        <f t="shared" si="53"/>
        <v>1218-53934-44746</v>
      </c>
    </row>
    <row r="3429" spans="1:5" ht="14.25" customHeight="1">
      <c r="A3429" s="4">
        <v>1218</v>
      </c>
      <c r="B3429" s="4">
        <v>53934</v>
      </c>
      <c r="C3429" s="17">
        <v>44753</v>
      </c>
      <c r="D3429" s="4">
        <v>77</v>
      </c>
      <c r="E3429" t="str">
        <f t="shared" si="53"/>
        <v>1218-53934-44753</v>
      </c>
    </row>
    <row r="3430" spans="1:5" ht="14.25" customHeight="1">
      <c r="A3430" s="4">
        <v>1218</v>
      </c>
      <c r="B3430" s="4">
        <v>53934</v>
      </c>
      <c r="C3430" s="17">
        <v>44760</v>
      </c>
      <c r="D3430" s="4">
        <v>165</v>
      </c>
      <c r="E3430" t="str">
        <f t="shared" si="53"/>
        <v>1218-53934-44760</v>
      </c>
    </row>
    <row r="3431" spans="1:5" ht="14.25" customHeight="1">
      <c r="A3431" s="4">
        <v>1218</v>
      </c>
      <c r="B3431" s="4">
        <v>53934</v>
      </c>
      <c r="C3431" s="17">
        <v>44767</v>
      </c>
      <c r="D3431" s="4">
        <v>72</v>
      </c>
      <c r="E3431" t="str">
        <f t="shared" si="53"/>
        <v>1218-53934-44767</v>
      </c>
    </row>
    <row r="3432" spans="1:5" ht="14.25" customHeight="1">
      <c r="A3432" s="4">
        <v>1218</v>
      </c>
      <c r="B3432" s="4">
        <v>53934</v>
      </c>
      <c r="C3432" s="17">
        <v>44774</v>
      </c>
      <c r="D3432" s="4">
        <v>260</v>
      </c>
      <c r="E3432" t="str">
        <f t="shared" si="53"/>
        <v>1218-53934-44774</v>
      </c>
    </row>
    <row r="3433" spans="1:5" ht="14.25" customHeight="1">
      <c r="A3433" s="4">
        <v>1218</v>
      </c>
      <c r="B3433" s="4">
        <v>53934</v>
      </c>
      <c r="C3433" s="17">
        <v>44781</v>
      </c>
      <c r="D3433" s="4">
        <v>203</v>
      </c>
      <c r="E3433" t="str">
        <f t="shared" si="53"/>
        <v>1218-53934-44781</v>
      </c>
    </row>
    <row r="3434" spans="1:5" ht="14.25" customHeight="1">
      <c r="A3434" s="4">
        <v>1218</v>
      </c>
      <c r="B3434" s="4">
        <v>53934</v>
      </c>
      <c r="C3434" s="17">
        <v>44788</v>
      </c>
      <c r="D3434" s="4">
        <v>184</v>
      </c>
      <c r="E3434" t="str">
        <f t="shared" si="53"/>
        <v>1218-53934-44788</v>
      </c>
    </row>
    <row r="3435" spans="1:5" ht="14.25" customHeight="1">
      <c r="A3435" s="4">
        <v>1218</v>
      </c>
      <c r="B3435" s="4">
        <v>78699</v>
      </c>
      <c r="C3435" s="17">
        <v>44739</v>
      </c>
      <c r="D3435" s="4">
        <v>3</v>
      </c>
      <c r="E3435" t="str">
        <f t="shared" si="53"/>
        <v>1218-78699-44739</v>
      </c>
    </row>
    <row r="3436" spans="1:5" ht="14.25" customHeight="1">
      <c r="A3436" s="4">
        <v>1218</v>
      </c>
      <c r="B3436" s="4">
        <v>78699</v>
      </c>
      <c r="C3436" s="17">
        <v>44746</v>
      </c>
      <c r="D3436" s="4">
        <v>3</v>
      </c>
      <c r="E3436" t="str">
        <f t="shared" si="53"/>
        <v>1218-78699-44746</v>
      </c>
    </row>
    <row r="3437" spans="1:5" ht="14.25" customHeight="1">
      <c r="A3437" s="4">
        <v>1218</v>
      </c>
      <c r="B3437" s="4">
        <v>78699</v>
      </c>
      <c r="C3437" s="17">
        <v>44753</v>
      </c>
      <c r="D3437" s="4">
        <v>3</v>
      </c>
      <c r="E3437" t="str">
        <f t="shared" si="53"/>
        <v>1218-78699-44753</v>
      </c>
    </row>
    <row r="3438" spans="1:5" ht="14.25" customHeight="1">
      <c r="A3438" s="4">
        <v>1218</v>
      </c>
      <c r="B3438" s="4">
        <v>78699</v>
      </c>
      <c r="C3438" s="17">
        <v>44760</v>
      </c>
      <c r="D3438" s="4">
        <v>3</v>
      </c>
      <c r="E3438" t="str">
        <f t="shared" si="53"/>
        <v>1218-78699-44760</v>
      </c>
    </row>
    <row r="3439" spans="1:5" ht="14.25" customHeight="1">
      <c r="A3439" s="4">
        <v>1218</v>
      </c>
      <c r="B3439" s="4">
        <v>78699</v>
      </c>
      <c r="C3439" s="17">
        <v>44767</v>
      </c>
      <c r="D3439" s="4">
        <v>3</v>
      </c>
      <c r="E3439" t="str">
        <f t="shared" si="53"/>
        <v>1218-78699-44767</v>
      </c>
    </row>
    <row r="3440" spans="1:5" ht="14.25" customHeight="1">
      <c r="A3440" s="4">
        <v>1218</v>
      </c>
      <c r="B3440" s="4">
        <v>78699</v>
      </c>
      <c r="C3440" s="17">
        <v>44774</v>
      </c>
      <c r="D3440" s="4">
        <v>3</v>
      </c>
      <c r="E3440" t="str">
        <f t="shared" si="53"/>
        <v>1218-78699-44774</v>
      </c>
    </row>
    <row r="3441" spans="1:5" ht="14.25" customHeight="1">
      <c r="A3441" s="4">
        <v>1218</v>
      </c>
      <c r="B3441" s="4">
        <v>78699</v>
      </c>
      <c r="C3441" s="17">
        <v>44781</v>
      </c>
      <c r="D3441" s="4">
        <v>3</v>
      </c>
      <c r="E3441" t="str">
        <f t="shared" si="53"/>
        <v>1218-78699-44781</v>
      </c>
    </row>
    <row r="3442" spans="1:5" ht="14.25" customHeight="1">
      <c r="A3442" s="4">
        <v>1218</v>
      </c>
      <c r="B3442" s="4">
        <v>78699</v>
      </c>
      <c r="C3442" s="17">
        <v>44788</v>
      </c>
      <c r="D3442" s="4">
        <v>3</v>
      </c>
      <c r="E3442" t="str">
        <f t="shared" si="53"/>
        <v>1218-78699-44788</v>
      </c>
    </row>
    <row r="3443" spans="1:5" ht="14.25" customHeight="1">
      <c r="A3443" s="4">
        <v>1218</v>
      </c>
      <c r="B3443" s="4">
        <v>78869</v>
      </c>
      <c r="C3443" s="17">
        <v>44739</v>
      </c>
      <c r="D3443" s="4">
        <v>3</v>
      </c>
      <c r="E3443" t="str">
        <f t="shared" si="53"/>
        <v>1218-78869-44739</v>
      </c>
    </row>
    <row r="3444" spans="1:5" ht="14.25" customHeight="1">
      <c r="A3444" s="4">
        <v>1218</v>
      </c>
      <c r="B3444" s="4">
        <v>78869</v>
      </c>
      <c r="C3444" s="17">
        <v>44746</v>
      </c>
      <c r="D3444" s="4">
        <v>3</v>
      </c>
      <c r="E3444" t="str">
        <f t="shared" si="53"/>
        <v>1218-78869-44746</v>
      </c>
    </row>
    <row r="3445" spans="1:5" ht="14.25" customHeight="1">
      <c r="A3445" s="4">
        <v>1218</v>
      </c>
      <c r="B3445" s="4">
        <v>78869</v>
      </c>
      <c r="C3445" s="17">
        <v>44753</v>
      </c>
      <c r="D3445" s="4">
        <v>3</v>
      </c>
      <c r="E3445" t="str">
        <f t="shared" si="53"/>
        <v>1218-78869-44753</v>
      </c>
    </row>
    <row r="3446" spans="1:5" ht="14.25" customHeight="1">
      <c r="A3446" s="4">
        <v>1218</v>
      </c>
      <c r="B3446" s="4">
        <v>78869</v>
      </c>
      <c r="C3446" s="17">
        <v>44760</v>
      </c>
      <c r="D3446" s="4">
        <v>3</v>
      </c>
      <c r="E3446" t="str">
        <f t="shared" si="53"/>
        <v>1218-78869-44760</v>
      </c>
    </row>
    <row r="3447" spans="1:5" ht="14.25" customHeight="1">
      <c r="A3447" s="4">
        <v>1218</v>
      </c>
      <c r="B3447" s="4">
        <v>78869</v>
      </c>
      <c r="C3447" s="17">
        <v>44767</v>
      </c>
      <c r="D3447" s="4">
        <v>3</v>
      </c>
      <c r="E3447" t="str">
        <f t="shared" si="53"/>
        <v>1218-78869-44767</v>
      </c>
    </row>
    <row r="3448" spans="1:5" ht="14.25" customHeight="1">
      <c r="A3448" s="4">
        <v>1218</v>
      </c>
      <c r="B3448" s="4">
        <v>78869</v>
      </c>
      <c r="C3448" s="17">
        <v>44774</v>
      </c>
      <c r="D3448" s="4">
        <v>3</v>
      </c>
      <c r="E3448" t="str">
        <f t="shared" si="53"/>
        <v>1218-78869-44774</v>
      </c>
    </row>
    <row r="3449" spans="1:5" ht="14.25" customHeight="1">
      <c r="A3449" s="4">
        <v>1218</v>
      </c>
      <c r="B3449" s="4">
        <v>78869</v>
      </c>
      <c r="C3449" s="17">
        <v>44781</v>
      </c>
      <c r="D3449" s="4">
        <v>3</v>
      </c>
      <c r="E3449" t="str">
        <f t="shared" si="53"/>
        <v>1218-78869-44781</v>
      </c>
    </row>
    <row r="3450" spans="1:5" ht="14.25" customHeight="1">
      <c r="A3450" s="4">
        <v>1218</v>
      </c>
      <c r="B3450" s="4">
        <v>78869</v>
      </c>
      <c r="C3450" s="17">
        <v>44788</v>
      </c>
      <c r="D3450" s="4">
        <v>3</v>
      </c>
      <c r="E3450" t="str">
        <f t="shared" si="53"/>
        <v>1218-78869-44788</v>
      </c>
    </row>
    <row r="3451" spans="1:5" ht="14.25" customHeight="1">
      <c r="A3451" s="4">
        <v>1218</v>
      </c>
      <c r="B3451" s="4">
        <v>115600</v>
      </c>
      <c r="C3451" s="17">
        <v>32874</v>
      </c>
      <c r="D3451" s="4">
        <v>30</v>
      </c>
      <c r="E3451" t="str">
        <f t="shared" si="53"/>
        <v>1218-115600-32874</v>
      </c>
    </row>
    <row r="3452" spans="1:5" ht="14.25" customHeight="1">
      <c r="A3452" s="4">
        <v>1218</v>
      </c>
      <c r="B3452" s="4">
        <v>115600</v>
      </c>
      <c r="C3452" s="17">
        <v>44739</v>
      </c>
      <c r="D3452" s="4">
        <v>38</v>
      </c>
      <c r="E3452" t="str">
        <f t="shared" si="53"/>
        <v>1218-115600-44739</v>
      </c>
    </row>
    <row r="3453" spans="1:5" ht="14.25" customHeight="1">
      <c r="A3453" s="4">
        <v>1218</v>
      </c>
      <c r="B3453" s="4">
        <v>115600</v>
      </c>
      <c r="C3453" s="17">
        <v>44746</v>
      </c>
      <c r="D3453" s="4">
        <v>30</v>
      </c>
      <c r="E3453" t="str">
        <f t="shared" si="53"/>
        <v>1218-115600-44746</v>
      </c>
    </row>
    <row r="3454" spans="1:5" ht="14.25" customHeight="1">
      <c r="A3454" s="4">
        <v>1218</v>
      </c>
      <c r="B3454" s="4">
        <v>115600</v>
      </c>
      <c r="C3454" s="17">
        <v>44753</v>
      </c>
      <c r="D3454" s="4">
        <v>13</v>
      </c>
      <c r="E3454" t="str">
        <f t="shared" si="53"/>
        <v>1218-115600-44753</v>
      </c>
    </row>
    <row r="3455" spans="1:5" ht="14.25" customHeight="1">
      <c r="A3455" s="4">
        <v>1218</v>
      </c>
      <c r="B3455" s="4">
        <v>115600</v>
      </c>
      <c r="C3455" s="17">
        <v>44760</v>
      </c>
      <c r="D3455" s="4">
        <v>35</v>
      </c>
      <c r="E3455" t="str">
        <f t="shared" si="53"/>
        <v>1218-115600-44760</v>
      </c>
    </row>
    <row r="3456" spans="1:5" ht="14.25" customHeight="1">
      <c r="A3456" s="4">
        <v>1218</v>
      </c>
      <c r="B3456" s="4">
        <v>115600</v>
      </c>
      <c r="C3456" s="17">
        <v>44767</v>
      </c>
      <c r="D3456" s="4">
        <v>36</v>
      </c>
      <c r="E3456" t="str">
        <f t="shared" si="53"/>
        <v>1218-115600-44767</v>
      </c>
    </row>
    <row r="3457" spans="1:5" ht="14.25" customHeight="1">
      <c r="A3457" s="4">
        <v>1218</v>
      </c>
      <c r="B3457" s="4">
        <v>115600</v>
      </c>
      <c r="C3457" s="17">
        <v>44774</v>
      </c>
      <c r="D3457" s="4">
        <v>12</v>
      </c>
      <c r="E3457" t="str">
        <f t="shared" si="53"/>
        <v>1218-115600-44774</v>
      </c>
    </row>
    <row r="3458" spans="1:5" ht="14.25" customHeight="1">
      <c r="A3458" s="4">
        <v>1218</v>
      </c>
      <c r="B3458" s="4">
        <v>115600</v>
      </c>
      <c r="C3458" s="17">
        <v>44781</v>
      </c>
      <c r="D3458" s="4">
        <v>31</v>
      </c>
      <c r="E3458" t="str">
        <f t="shared" si="53"/>
        <v>1218-115600-44781</v>
      </c>
    </row>
    <row r="3459" spans="1:5" ht="14.25" customHeight="1">
      <c r="A3459" s="4">
        <v>1218</v>
      </c>
      <c r="B3459" s="4">
        <v>115600</v>
      </c>
      <c r="C3459" s="17">
        <v>44788</v>
      </c>
      <c r="D3459" s="4">
        <v>28</v>
      </c>
      <c r="E3459" t="str">
        <f t="shared" ref="E3459:E3522" si="54">A3459&amp;"-"&amp;B3459&amp;"-"&amp;INT(C3459)</f>
        <v>1218-115600-44788</v>
      </c>
    </row>
    <row r="3460" spans="1:5" ht="14.25" customHeight="1">
      <c r="A3460" s="4">
        <v>1218</v>
      </c>
      <c r="B3460" s="4">
        <v>129208</v>
      </c>
      <c r="C3460" s="17">
        <v>32874</v>
      </c>
      <c r="D3460" s="4">
        <v>6</v>
      </c>
      <c r="E3460" t="str">
        <f t="shared" si="54"/>
        <v>1218-129208-32874</v>
      </c>
    </row>
    <row r="3461" spans="1:5" ht="14.25" customHeight="1">
      <c r="A3461" s="4">
        <v>1218</v>
      </c>
      <c r="B3461" s="4">
        <v>129208</v>
      </c>
      <c r="C3461" s="17">
        <v>44739</v>
      </c>
      <c r="D3461" s="4">
        <v>15</v>
      </c>
      <c r="E3461" t="str">
        <f t="shared" si="54"/>
        <v>1218-129208-44739</v>
      </c>
    </row>
    <row r="3462" spans="1:5" ht="14.25" customHeight="1">
      <c r="A3462" s="4">
        <v>1218</v>
      </c>
      <c r="B3462" s="4">
        <v>129208</v>
      </c>
      <c r="C3462" s="17">
        <v>44746</v>
      </c>
      <c r="D3462" s="4">
        <v>15</v>
      </c>
      <c r="E3462" t="str">
        <f t="shared" si="54"/>
        <v>1218-129208-44746</v>
      </c>
    </row>
    <row r="3463" spans="1:5" ht="14.25" customHeight="1">
      <c r="A3463" s="4">
        <v>1218</v>
      </c>
      <c r="B3463" s="4">
        <v>129208</v>
      </c>
      <c r="C3463" s="17">
        <v>44753</v>
      </c>
      <c r="D3463" s="4">
        <v>15</v>
      </c>
      <c r="E3463" t="str">
        <f t="shared" si="54"/>
        <v>1218-129208-44753</v>
      </c>
    </row>
    <row r="3464" spans="1:5" ht="14.25" customHeight="1">
      <c r="A3464" s="4">
        <v>1218</v>
      </c>
      <c r="B3464" s="4">
        <v>129208</v>
      </c>
      <c r="C3464" s="17">
        <v>44760</v>
      </c>
      <c r="D3464" s="4">
        <v>15</v>
      </c>
      <c r="E3464" t="str">
        <f t="shared" si="54"/>
        <v>1218-129208-44760</v>
      </c>
    </row>
    <row r="3465" spans="1:5" ht="14.25" customHeight="1">
      <c r="A3465" s="4">
        <v>1218</v>
      </c>
      <c r="B3465" s="4">
        <v>129208</v>
      </c>
      <c r="C3465" s="17">
        <v>44767</v>
      </c>
      <c r="D3465" s="4">
        <v>15</v>
      </c>
      <c r="E3465" t="str">
        <f t="shared" si="54"/>
        <v>1218-129208-44767</v>
      </c>
    </row>
    <row r="3466" spans="1:5" ht="14.25" customHeight="1">
      <c r="A3466" s="4">
        <v>1218</v>
      </c>
      <c r="B3466" s="4">
        <v>129208</v>
      </c>
      <c r="C3466" s="17">
        <v>44774</v>
      </c>
      <c r="D3466" s="4">
        <v>15</v>
      </c>
      <c r="E3466" t="str">
        <f t="shared" si="54"/>
        <v>1218-129208-44774</v>
      </c>
    </row>
    <row r="3467" spans="1:5" ht="14.25" customHeight="1">
      <c r="A3467" s="4">
        <v>1218</v>
      </c>
      <c r="B3467" s="4">
        <v>129208</v>
      </c>
      <c r="C3467" s="17">
        <v>44781</v>
      </c>
      <c r="D3467" s="4">
        <v>15</v>
      </c>
      <c r="E3467" t="str">
        <f t="shared" si="54"/>
        <v>1218-129208-44781</v>
      </c>
    </row>
    <row r="3468" spans="1:5" ht="14.25" customHeight="1">
      <c r="A3468" s="4">
        <v>1218</v>
      </c>
      <c r="B3468" s="4">
        <v>129208</v>
      </c>
      <c r="C3468" s="17">
        <v>44788</v>
      </c>
      <c r="D3468" s="4">
        <v>15</v>
      </c>
      <c r="E3468" t="str">
        <f t="shared" si="54"/>
        <v>1218-129208-44788</v>
      </c>
    </row>
    <row r="3469" spans="1:5" ht="14.25" customHeight="1">
      <c r="A3469" s="4">
        <v>1218</v>
      </c>
      <c r="B3469" s="4">
        <v>141622</v>
      </c>
      <c r="C3469" s="17">
        <v>44739</v>
      </c>
      <c r="D3469" s="4">
        <v>9</v>
      </c>
      <c r="E3469" t="str">
        <f t="shared" si="54"/>
        <v>1218-141622-44739</v>
      </c>
    </row>
    <row r="3470" spans="1:5" ht="14.25" customHeight="1">
      <c r="A3470" s="4">
        <v>1218</v>
      </c>
      <c r="B3470" s="4">
        <v>141622</v>
      </c>
      <c r="C3470" s="17">
        <v>44746</v>
      </c>
      <c r="D3470" s="4">
        <v>32</v>
      </c>
      <c r="E3470" t="str">
        <f t="shared" si="54"/>
        <v>1218-141622-44746</v>
      </c>
    </row>
    <row r="3471" spans="1:5" ht="14.25" customHeight="1">
      <c r="A3471" s="4">
        <v>1218</v>
      </c>
      <c r="B3471" s="4">
        <v>141622</v>
      </c>
      <c r="C3471" s="17">
        <v>44753</v>
      </c>
      <c r="D3471" s="4">
        <v>34</v>
      </c>
      <c r="E3471" t="str">
        <f t="shared" si="54"/>
        <v>1218-141622-44753</v>
      </c>
    </row>
    <row r="3472" spans="1:5" ht="14.25" customHeight="1">
      <c r="A3472" s="4">
        <v>1218</v>
      </c>
      <c r="B3472" s="4">
        <v>141622</v>
      </c>
      <c r="C3472" s="17">
        <v>44760</v>
      </c>
      <c r="D3472" s="4">
        <v>28</v>
      </c>
      <c r="E3472" t="str">
        <f t="shared" si="54"/>
        <v>1218-141622-44760</v>
      </c>
    </row>
    <row r="3473" spans="1:5" ht="14.25" customHeight="1">
      <c r="A3473" s="4">
        <v>1218</v>
      </c>
      <c r="B3473" s="4">
        <v>141622</v>
      </c>
      <c r="C3473" s="17">
        <v>44767</v>
      </c>
      <c r="D3473" s="4">
        <v>10</v>
      </c>
      <c r="E3473" t="str">
        <f t="shared" si="54"/>
        <v>1218-141622-44767</v>
      </c>
    </row>
    <row r="3474" spans="1:5" ht="14.25" customHeight="1">
      <c r="A3474" s="4">
        <v>1218</v>
      </c>
      <c r="B3474" s="4">
        <v>141622</v>
      </c>
      <c r="C3474" s="17">
        <v>44774</v>
      </c>
      <c r="D3474" s="4">
        <v>30</v>
      </c>
      <c r="E3474" t="str">
        <f t="shared" si="54"/>
        <v>1218-141622-44774</v>
      </c>
    </row>
    <row r="3475" spans="1:5" ht="14.25" customHeight="1">
      <c r="A3475" s="4">
        <v>1218</v>
      </c>
      <c r="B3475" s="4">
        <v>141622</v>
      </c>
      <c r="C3475" s="17">
        <v>44781</v>
      </c>
      <c r="D3475" s="4">
        <v>36</v>
      </c>
      <c r="E3475" t="str">
        <f t="shared" si="54"/>
        <v>1218-141622-44781</v>
      </c>
    </row>
    <row r="3476" spans="1:5" ht="14.25" customHeight="1">
      <c r="A3476" s="4">
        <v>1218</v>
      </c>
      <c r="B3476" s="4">
        <v>141622</v>
      </c>
      <c r="C3476" s="17">
        <v>44788</v>
      </c>
      <c r="D3476" s="4">
        <v>33</v>
      </c>
      <c r="E3476" t="str">
        <f t="shared" si="54"/>
        <v>1218-141622-44788</v>
      </c>
    </row>
    <row r="3477" spans="1:5" ht="14.25" customHeight="1">
      <c r="A3477" s="4">
        <v>1218</v>
      </c>
      <c r="B3477" s="4">
        <v>141626</v>
      </c>
      <c r="C3477" s="17">
        <v>44739</v>
      </c>
      <c r="D3477" s="4">
        <v>335</v>
      </c>
      <c r="E3477" t="str">
        <f t="shared" si="54"/>
        <v>1218-141626-44739</v>
      </c>
    </row>
    <row r="3478" spans="1:5" ht="14.25" customHeight="1">
      <c r="A3478" s="4">
        <v>1218</v>
      </c>
      <c r="B3478" s="4">
        <v>141626</v>
      </c>
      <c r="C3478" s="17">
        <v>44746</v>
      </c>
      <c r="D3478" s="4">
        <v>305</v>
      </c>
      <c r="E3478" t="str">
        <f t="shared" si="54"/>
        <v>1218-141626-44746</v>
      </c>
    </row>
    <row r="3479" spans="1:5" ht="14.25" customHeight="1">
      <c r="A3479" s="4">
        <v>1218</v>
      </c>
      <c r="B3479" s="4">
        <v>141626</v>
      </c>
      <c r="C3479" s="17">
        <v>44753</v>
      </c>
      <c r="D3479" s="4">
        <v>296</v>
      </c>
      <c r="E3479" t="str">
        <f t="shared" si="54"/>
        <v>1218-141626-44753</v>
      </c>
    </row>
    <row r="3480" spans="1:5" ht="14.25" customHeight="1">
      <c r="A3480" s="4">
        <v>1218</v>
      </c>
      <c r="B3480" s="4">
        <v>141626</v>
      </c>
      <c r="C3480" s="17">
        <v>44760</v>
      </c>
      <c r="D3480" s="4">
        <v>274</v>
      </c>
      <c r="E3480" t="str">
        <f t="shared" si="54"/>
        <v>1218-141626-44760</v>
      </c>
    </row>
    <row r="3481" spans="1:5" ht="14.25" customHeight="1">
      <c r="A3481" s="4">
        <v>1218</v>
      </c>
      <c r="B3481" s="4">
        <v>141626</v>
      </c>
      <c r="C3481" s="17">
        <v>44767</v>
      </c>
      <c r="D3481" s="4">
        <v>240</v>
      </c>
      <c r="E3481" t="str">
        <f t="shared" si="54"/>
        <v>1218-141626-44767</v>
      </c>
    </row>
    <row r="3482" spans="1:5" ht="14.25" customHeight="1">
      <c r="A3482" s="4">
        <v>1218</v>
      </c>
      <c r="B3482" s="4">
        <v>141626</v>
      </c>
      <c r="C3482" s="17">
        <v>44774</v>
      </c>
      <c r="D3482" s="4">
        <v>322</v>
      </c>
      <c r="E3482" t="str">
        <f t="shared" si="54"/>
        <v>1218-141626-44774</v>
      </c>
    </row>
    <row r="3483" spans="1:5" ht="14.25" customHeight="1">
      <c r="A3483" s="4">
        <v>1218</v>
      </c>
      <c r="B3483" s="4">
        <v>141626</v>
      </c>
      <c r="C3483" s="17">
        <v>44781</v>
      </c>
      <c r="D3483" s="4">
        <v>168</v>
      </c>
      <c r="E3483" t="str">
        <f t="shared" si="54"/>
        <v>1218-141626-44781</v>
      </c>
    </row>
    <row r="3484" spans="1:5" ht="14.25" customHeight="1">
      <c r="A3484" s="4">
        <v>1218</v>
      </c>
      <c r="B3484" s="4">
        <v>141626</v>
      </c>
      <c r="C3484" s="17">
        <v>44788</v>
      </c>
      <c r="D3484" s="4">
        <v>105</v>
      </c>
      <c r="E3484" t="str">
        <f t="shared" si="54"/>
        <v>1218-141626-44788</v>
      </c>
    </row>
    <row r="3485" spans="1:5" ht="14.25" customHeight="1">
      <c r="A3485" s="4">
        <v>1218</v>
      </c>
      <c r="B3485" s="4">
        <v>141791</v>
      </c>
      <c r="C3485" s="17">
        <v>44739</v>
      </c>
      <c r="D3485" s="4">
        <v>3</v>
      </c>
      <c r="E3485" t="str">
        <f t="shared" si="54"/>
        <v>1218-141791-44739</v>
      </c>
    </row>
    <row r="3486" spans="1:5" ht="14.25" customHeight="1">
      <c r="A3486" s="4">
        <v>1218</v>
      </c>
      <c r="B3486" s="4">
        <v>141791</v>
      </c>
      <c r="C3486" s="17">
        <v>44746</v>
      </c>
      <c r="D3486" s="4">
        <v>3</v>
      </c>
      <c r="E3486" t="str">
        <f t="shared" si="54"/>
        <v>1218-141791-44746</v>
      </c>
    </row>
    <row r="3487" spans="1:5" ht="14.25" customHeight="1">
      <c r="A3487" s="4">
        <v>1218</v>
      </c>
      <c r="B3487" s="4">
        <v>141791</v>
      </c>
      <c r="C3487" s="17">
        <v>44753</v>
      </c>
      <c r="D3487" s="4">
        <v>3</v>
      </c>
      <c r="E3487" t="str">
        <f t="shared" si="54"/>
        <v>1218-141791-44753</v>
      </c>
    </row>
    <row r="3488" spans="1:5" ht="14.25" customHeight="1">
      <c r="A3488" s="4">
        <v>1218</v>
      </c>
      <c r="B3488" s="4">
        <v>141791</v>
      </c>
      <c r="C3488" s="17">
        <v>44760</v>
      </c>
      <c r="D3488" s="4">
        <v>3</v>
      </c>
      <c r="E3488" t="str">
        <f t="shared" si="54"/>
        <v>1218-141791-44760</v>
      </c>
    </row>
    <row r="3489" spans="1:5" ht="14.25" customHeight="1">
      <c r="A3489" s="4">
        <v>1218</v>
      </c>
      <c r="B3489" s="4">
        <v>141791</v>
      </c>
      <c r="C3489" s="17">
        <v>44767</v>
      </c>
      <c r="D3489" s="4">
        <v>3</v>
      </c>
      <c r="E3489" t="str">
        <f t="shared" si="54"/>
        <v>1218-141791-44767</v>
      </c>
    </row>
    <row r="3490" spans="1:5" ht="14.25" customHeight="1">
      <c r="A3490" s="4">
        <v>1218</v>
      </c>
      <c r="B3490" s="4">
        <v>141791</v>
      </c>
      <c r="C3490" s="17">
        <v>44774</v>
      </c>
      <c r="D3490" s="4">
        <v>3</v>
      </c>
      <c r="E3490" t="str">
        <f t="shared" si="54"/>
        <v>1218-141791-44774</v>
      </c>
    </row>
    <row r="3491" spans="1:5" ht="14.25" customHeight="1">
      <c r="A3491" s="4">
        <v>1218</v>
      </c>
      <c r="B3491" s="4">
        <v>141791</v>
      </c>
      <c r="C3491" s="17">
        <v>44781</v>
      </c>
      <c r="D3491" s="4">
        <v>3</v>
      </c>
      <c r="E3491" t="str">
        <f t="shared" si="54"/>
        <v>1218-141791-44781</v>
      </c>
    </row>
    <row r="3492" spans="1:5" ht="14.25" customHeight="1">
      <c r="A3492" s="4">
        <v>1218</v>
      </c>
      <c r="B3492" s="4">
        <v>141791</v>
      </c>
      <c r="C3492" s="17">
        <v>44788</v>
      </c>
      <c r="D3492" s="4">
        <v>3</v>
      </c>
      <c r="E3492" t="str">
        <f t="shared" si="54"/>
        <v>1218-141791-44788</v>
      </c>
    </row>
    <row r="3493" spans="1:5" ht="14.25" customHeight="1">
      <c r="A3493" s="4">
        <v>1218</v>
      </c>
      <c r="B3493" s="4">
        <v>141846</v>
      </c>
      <c r="C3493" s="17">
        <v>44739</v>
      </c>
      <c r="D3493" s="4">
        <v>18</v>
      </c>
      <c r="E3493" t="str">
        <f t="shared" si="54"/>
        <v>1218-141846-44739</v>
      </c>
    </row>
    <row r="3494" spans="1:5" ht="14.25" customHeight="1">
      <c r="A3494" s="4">
        <v>1218</v>
      </c>
      <c r="B3494" s="4">
        <v>141846</v>
      </c>
      <c r="C3494" s="17">
        <v>44746</v>
      </c>
      <c r="D3494" s="4">
        <v>18</v>
      </c>
      <c r="E3494" t="str">
        <f t="shared" si="54"/>
        <v>1218-141846-44746</v>
      </c>
    </row>
    <row r="3495" spans="1:5" ht="14.25" customHeight="1">
      <c r="A3495" s="4">
        <v>1218</v>
      </c>
      <c r="B3495" s="4">
        <v>141846</v>
      </c>
      <c r="C3495" s="17">
        <v>44753</v>
      </c>
      <c r="D3495" s="4">
        <v>12</v>
      </c>
      <c r="E3495" t="str">
        <f t="shared" si="54"/>
        <v>1218-141846-44753</v>
      </c>
    </row>
    <row r="3496" spans="1:5" ht="14.25" customHeight="1">
      <c r="A3496" s="4">
        <v>1218</v>
      </c>
      <c r="B3496" s="4">
        <v>141846</v>
      </c>
      <c r="C3496" s="17">
        <v>44760</v>
      </c>
      <c r="D3496" s="4">
        <v>5</v>
      </c>
      <c r="E3496" t="str">
        <f t="shared" si="54"/>
        <v>1218-141846-44760</v>
      </c>
    </row>
    <row r="3497" spans="1:5" ht="14.25" customHeight="1">
      <c r="A3497" s="4">
        <v>1218</v>
      </c>
      <c r="B3497" s="4">
        <v>141846</v>
      </c>
      <c r="C3497" s="17">
        <v>44767</v>
      </c>
      <c r="D3497" s="4">
        <v>15</v>
      </c>
      <c r="E3497" t="str">
        <f t="shared" si="54"/>
        <v>1218-141846-44767</v>
      </c>
    </row>
    <row r="3498" spans="1:5" ht="14.25" customHeight="1">
      <c r="A3498" s="4">
        <v>1218</v>
      </c>
      <c r="B3498" s="4">
        <v>141846</v>
      </c>
      <c r="C3498" s="17">
        <v>44774</v>
      </c>
      <c r="D3498" s="4">
        <v>9</v>
      </c>
      <c r="E3498" t="str">
        <f t="shared" si="54"/>
        <v>1218-141846-44774</v>
      </c>
    </row>
    <row r="3499" spans="1:5" ht="14.25" customHeight="1">
      <c r="A3499" s="4">
        <v>1218</v>
      </c>
      <c r="B3499" s="4">
        <v>141846</v>
      </c>
      <c r="C3499" s="17">
        <v>44781</v>
      </c>
      <c r="D3499" s="4">
        <v>18</v>
      </c>
      <c r="E3499" t="str">
        <f t="shared" si="54"/>
        <v>1218-141846-44781</v>
      </c>
    </row>
    <row r="3500" spans="1:5" ht="14.25" customHeight="1">
      <c r="A3500" s="4">
        <v>1218</v>
      </c>
      <c r="B3500" s="4">
        <v>141846</v>
      </c>
      <c r="C3500" s="17">
        <v>44788</v>
      </c>
      <c r="D3500" s="4">
        <v>27</v>
      </c>
      <c r="E3500" t="str">
        <f t="shared" si="54"/>
        <v>1218-141846-44788</v>
      </c>
    </row>
    <row r="3501" spans="1:5" ht="14.25" customHeight="1">
      <c r="A3501" s="4">
        <v>1218</v>
      </c>
      <c r="B3501" s="4">
        <v>141967</v>
      </c>
      <c r="C3501" s="17">
        <v>44739</v>
      </c>
      <c r="D3501" s="4">
        <v>13</v>
      </c>
      <c r="E3501" t="str">
        <f t="shared" si="54"/>
        <v>1218-141967-44739</v>
      </c>
    </row>
    <row r="3502" spans="1:5" ht="14.25" customHeight="1">
      <c r="A3502" s="4">
        <v>1218</v>
      </c>
      <c r="B3502" s="4">
        <v>141967</v>
      </c>
      <c r="C3502" s="17">
        <v>44746</v>
      </c>
      <c r="D3502" s="4">
        <v>17</v>
      </c>
      <c r="E3502" t="str">
        <f t="shared" si="54"/>
        <v>1218-141967-44746</v>
      </c>
    </row>
    <row r="3503" spans="1:5" ht="14.25" customHeight="1">
      <c r="A3503" s="4">
        <v>1218</v>
      </c>
      <c r="B3503" s="4">
        <v>141967</v>
      </c>
      <c r="C3503" s="17">
        <v>44753</v>
      </c>
      <c r="D3503" s="4">
        <v>1</v>
      </c>
      <c r="E3503" t="str">
        <f t="shared" si="54"/>
        <v>1218-141967-44753</v>
      </c>
    </row>
    <row r="3504" spans="1:5" ht="14.25" customHeight="1">
      <c r="A3504" s="4">
        <v>1218</v>
      </c>
      <c r="B3504" s="4">
        <v>141967</v>
      </c>
      <c r="C3504" s="17">
        <v>44760</v>
      </c>
      <c r="D3504" s="4">
        <v>12</v>
      </c>
      <c r="E3504" t="str">
        <f t="shared" si="54"/>
        <v>1218-141967-44760</v>
      </c>
    </row>
    <row r="3505" spans="1:5" ht="14.25" customHeight="1">
      <c r="A3505" s="4">
        <v>1218</v>
      </c>
      <c r="B3505" s="4">
        <v>141967</v>
      </c>
      <c r="C3505" s="17">
        <v>44767</v>
      </c>
      <c r="D3505" s="4">
        <v>13</v>
      </c>
      <c r="E3505" t="str">
        <f t="shared" si="54"/>
        <v>1218-141967-44767</v>
      </c>
    </row>
    <row r="3506" spans="1:5" ht="14.25" customHeight="1">
      <c r="A3506" s="4">
        <v>1218</v>
      </c>
      <c r="B3506" s="4">
        <v>141967</v>
      </c>
      <c r="C3506" s="17">
        <v>44774</v>
      </c>
      <c r="D3506" s="4">
        <v>16</v>
      </c>
      <c r="E3506" t="str">
        <f t="shared" si="54"/>
        <v>1218-141967-44774</v>
      </c>
    </row>
    <row r="3507" spans="1:5" ht="14.25" customHeight="1">
      <c r="A3507" s="4">
        <v>1218</v>
      </c>
      <c r="B3507" s="4">
        <v>141967</v>
      </c>
      <c r="C3507" s="17">
        <v>44781</v>
      </c>
      <c r="D3507" s="4">
        <v>9</v>
      </c>
      <c r="E3507" t="str">
        <f t="shared" si="54"/>
        <v>1218-141967-44781</v>
      </c>
    </row>
    <row r="3508" spans="1:5" ht="14.25" customHeight="1">
      <c r="A3508" s="4">
        <v>1218</v>
      </c>
      <c r="B3508" s="4">
        <v>141967</v>
      </c>
      <c r="C3508" s="17">
        <v>44788</v>
      </c>
      <c r="D3508" s="4">
        <v>13</v>
      </c>
      <c r="E3508" t="str">
        <f t="shared" si="54"/>
        <v>1218-141967-44788</v>
      </c>
    </row>
    <row r="3509" spans="1:5" ht="14.25" customHeight="1">
      <c r="A3509" s="4">
        <v>1218</v>
      </c>
      <c r="B3509" s="4">
        <v>142194</v>
      </c>
      <c r="C3509" s="17">
        <v>44739</v>
      </c>
      <c r="D3509" s="4">
        <v>12</v>
      </c>
      <c r="E3509" t="str">
        <f t="shared" si="54"/>
        <v>1218-142194-44739</v>
      </c>
    </row>
    <row r="3510" spans="1:5" ht="14.25" customHeight="1">
      <c r="A3510" s="4">
        <v>1218</v>
      </c>
      <c r="B3510" s="4">
        <v>142194</v>
      </c>
      <c r="C3510" s="17">
        <v>44746</v>
      </c>
      <c r="D3510" s="4">
        <v>12</v>
      </c>
      <c r="E3510" t="str">
        <f t="shared" si="54"/>
        <v>1218-142194-44746</v>
      </c>
    </row>
    <row r="3511" spans="1:5" ht="14.25" customHeight="1">
      <c r="A3511" s="4">
        <v>1218</v>
      </c>
      <c r="B3511" s="4">
        <v>142194</v>
      </c>
      <c r="C3511" s="17">
        <v>44753</v>
      </c>
      <c r="D3511" s="4">
        <v>6</v>
      </c>
      <c r="E3511" t="str">
        <f t="shared" si="54"/>
        <v>1218-142194-44753</v>
      </c>
    </row>
    <row r="3512" spans="1:5" ht="14.25" customHeight="1">
      <c r="A3512" s="4">
        <v>1218</v>
      </c>
      <c r="B3512" s="4">
        <v>142194</v>
      </c>
      <c r="C3512" s="17">
        <v>44760</v>
      </c>
      <c r="D3512" s="4">
        <v>9</v>
      </c>
      <c r="E3512" t="str">
        <f t="shared" si="54"/>
        <v>1218-142194-44760</v>
      </c>
    </row>
    <row r="3513" spans="1:5" ht="14.25" customHeight="1">
      <c r="A3513" s="4">
        <v>1218</v>
      </c>
      <c r="B3513" s="4">
        <v>142194</v>
      </c>
      <c r="C3513" s="17">
        <v>44767</v>
      </c>
      <c r="D3513" s="4">
        <v>12</v>
      </c>
      <c r="E3513" t="str">
        <f t="shared" si="54"/>
        <v>1218-142194-44767</v>
      </c>
    </row>
    <row r="3514" spans="1:5" ht="14.25" customHeight="1">
      <c r="A3514" s="4">
        <v>1218</v>
      </c>
      <c r="B3514" s="4">
        <v>142194</v>
      </c>
      <c r="C3514" s="17">
        <v>44774</v>
      </c>
      <c r="D3514" s="4">
        <v>17</v>
      </c>
      <c r="E3514" t="str">
        <f t="shared" si="54"/>
        <v>1218-142194-44774</v>
      </c>
    </row>
    <row r="3515" spans="1:5" ht="14.25" customHeight="1">
      <c r="A3515" s="4">
        <v>1218</v>
      </c>
      <c r="B3515" s="4">
        <v>142194</v>
      </c>
      <c r="C3515" s="17">
        <v>44781</v>
      </c>
      <c r="D3515" s="4">
        <v>0</v>
      </c>
      <c r="E3515" t="str">
        <f t="shared" si="54"/>
        <v>1218-142194-44781</v>
      </c>
    </row>
    <row r="3516" spans="1:5" ht="14.25" customHeight="1">
      <c r="A3516" s="4">
        <v>1218</v>
      </c>
      <c r="B3516" s="4">
        <v>142194</v>
      </c>
      <c r="C3516" s="17">
        <v>44788</v>
      </c>
      <c r="D3516" s="4">
        <v>15</v>
      </c>
      <c r="E3516" t="str">
        <f t="shared" si="54"/>
        <v>1218-142194-44788</v>
      </c>
    </row>
    <row r="3517" spans="1:5" ht="14.25" customHeight="1">
      <c r="A3517" s="4">
        <v>1218</v>
      </c>
      <c r="B3517" s="4">
        <v>149729</v>
      </c>
      <c r="C3517" s="17">
        <v>44739</v>
      </c>
      <c r="D3517" s="4">
        <v>56</v>
      </c>
      <c r="E3517" t="str">
        <f t="shared" si="54"/>
        <v>1218-149729-44739</v>
      </c>
    </row>
    <row r="3518" spans="1:5" ht="14.25" customHeight="1">
      <c r="A3518" s="4">
        <v>1218</v>
      </c>
      <c r="B3518" s="4">
        <v>149729</v>
      </c>
      <c r="C3518" s="17">
        <v>44746</v>
      </c>
      <c r="D3518" s="4">
        <v>56</v>
      </c>
      <c r="E3518" t="str">
        <f t="shared" si="54"/>
        <v>1218-149729-44746</v>
      </c>
    </row>
    <row r="3519" spans="1:5" ht="14.25" customHeight="1">
      <c r="A3519" s="4">
        <v>1218</v>
      </c>
      <c r="B3519" s="4">
        <v>149729</v>
      </c>
      <c r="C3519" s="17">
        <v>44753</v>
      </c>
      <c r="D3519" s="4">
        <v>56</v>
      </c>
      <c r="E3519" t="str">
        <f t="shared" si="54"/>
        <v>1218-149729-44753</v>
      </c>
    </row>
    <row r="3520" spans="1:5" ht="14.25" customHeight="1">
      <c r="A3520" s="4">
        <v>1218</v>
      </c>
      <c r="B3520" s="4">
        <v>149729</v>
      </c>
      <c r="C3520" s="17">
        <v>44760</v>
      </c>
      <c r="D3520" s="4">
        <v>64</v>
      </c>
      <c r="E3520" t="str">
        <f t="shared" si="54"/>
        <v>1218-149729-44760</v>
      </c>
    </row>
    <row r="3521" spans="1:5" ht="14.25" customHeight="1">
      <c r="A3521" s="4">
        <v>1218</v>
      </c>
      <c r="B3521" s="4">
        <v>149729</v>
      </c>
      <c r="C3521" s="17">
        <v>44767</v>
      </c>
      <c r="D3521" s="4">
        <v>48</v>
      </c>
      <c r="E3521" t="str">
        <f t="shared" si="54"/>
        <v>1218-149729-44767</v>
      </c>
    </row>
    <row r="3522" spans="1:5" ht="14.25" customHeight="1">
      <c r="A3522" s="4">
        <v>1218</v>
      </c>
      <c r="B3522" s="4">
        <v>149729</v>
      </c>
      <c r="C3522" s="17">
        <v>44774</v>
      </c>
      <c r="D3522" s="4">
        <v>48</v>
      </c>
      <c r="E3522" t="str">
        <f t="shared" si="54"/>
        <v>1218-149729-44774</v>
      </c>
    </row>
    <row r="3523" spans="1:5" ht="14.25" customHeight="1">
      <c r="A3523" s="4">
        <v>1218</v>
      </c>
      <c r="B3523" s="4">
        <v>149729</v>
      </c>
      <c r="C3523" s="17">
        <v>44781</v>
      </c>
      <c r="D3523" s="4">
        <v>31</v>
      </c>
      <c r="E3523" t="str">
        <f t="shared" ref="E3523:E3586" si="55">A3523&amp;"-"&amp;B3523&amp;"-"&amp;INT(C3523)</f>
        <v>1218-149729-44781</v>
      </c>
    </row>
    <row r="3524" spans="1:5" ht="14.25" customHeight="1">
      <c r="A3524" s="4">
        <v>1218</v>
      </c>
      <c r="B3524" s="4">
        <v>149729</v>
      </c>
      <c r="C3524" s="17">
        <v>44788</v>
      </c>
      <c r="D3524" s="4">
        <v>58</v>
      </c>
      <c r="E3524" t="str">
        <f t="shared" si="55"/>
        <v>1218-149729-44788</v>
      </c>
    </row>
    <row r="3525" spans="1:5" ht="14.25" customHeight="1">
      <c r="A3525" s="4">
        <v>1218</v>
      </c>
      <c r="B3525" s="4">
        <v>149779</v>
      </c>
      <c r="C3525" s="17">
        <v>44739</v>
      </c>
      <c r="D3525" s="4">
        <v>3</v>
      </c>
      <c r="E3525" t="str">
        <f t="shared" si="55"/>
        <v>1218-149779-44739</v>
      </c>
    </row>
    <row r="3526" spans="1:5" ht="14.25" customHeight="1">
      <c r="A3526" s="4">
        <v>1218</v>
      </c>
      <c r="B3526" s="4">
        <v>149779</v>
      </c>
      <c r="C3526" s="17">
        <v>44746</v>
      </c>
      <c r="D3526" s="4">
        <v>3</v>
      </c>
      <c r="E3526" t="str">
        <f t="shared" si="55"/>
        <v>1218-149779-44746</v>
      </c>
    </row>
    <row r="3527" spans="1:5" ht="14.25" customHeight="1">
      <c r="A3527" s="4">
        <v>1218</v>
      </c>
      <c r="B3527" s="4">
        <v>149779</v>
      </c>
      <c r="C3527" s="17">
        <v>44753</v>
      </c>
      <c r="D3527" s="4">
        <v>3</v>
      </c>
      <c r="E3527" t="str">
        <f t="shared" si="55"/>
        <v>1218-149779-44753</v>
      </c>
    </row>
    <row r="3528" spans="1:5" ht="14.25" customHeight="1">
      <c r="A3528" s="4">
        <v>1218</v>
      </c>
      <c r="B3528" s="4">
        <v>149779</v>
      </c>
      <c r="C3528" s="17">
        <v>44760</v>
      </c>
      <c r="D3528" s="4">
        <v>3</v>
      </c>
      <c r="E3528" t="str">
        <f t="shared" si="55"/>
        <v>1218-149779-44760</v>
      </c>
    </row>
    <row r="3529" spans="1:5" ht="14.25" customHeight="1">
      <c r="A3529" s="4">
        <v>1218</v>
      </c>
      <c r="B3529" s="4">
        <v>149779</v>
      </c>
      <c r="C3529" s="17">
        <v>44767</v>
      </c>
      <c r="D3529" s="4">
        <v>3</v>
      </c>
      <c r="E3529" t="str">
        <f t="shared" si="55"/>
        <v>1218-149779-44767</v>
      </c>
    </row>
    <row r="3530" spans="1:5" ht="14.25" customHeight="1">
      <c r="A3530" s="4">
        <v>1218</v>
      </c>
      <c r="B3530" s="4">
        <v>149779</v>
      </c>
      <c r="C3530" s="17">
        <v>44774</v>
      </c>
      <c r="D3530" s="4">
        <v>3</v>
      </c>
      <c r="E3530" t="str">
        <f t="shared" si="55"/>
        <v>1218-149779-44774</v>
      </c>
    </row>
    <row r="3531" spans="1:5" ht="14.25" customHeight="1">
      <c r="A3531" s="4">
        <v>1218</v>
      </c>
      <c r="B3531" s="4">
        <v>149779</v>
      </c>
      <c r="C3531" s="17">
        <v>44781</v>
      </c>
      <c r="D3531" s="4">
        <v>3</v>
      </c>
      <c r="E3531" t="str">
        <f t="shared" si="55"/>
        <v>1218-149779-44781</v>
      </c>
    </row>
    <row r="3532" spans="1:5" ht="14.25" customHeight="1">
      <c r="A3532" s="4">
        <v>1218</v>
      </c>
      <c r="B3532" s="4">
        <v>149779</v>
      </c>
      <c r="C3532" s="17">
        <v>44788</v>
      </c>
      <c r="D3532" s="4">
        <v>3</v>
      </c>
      <c r="E3532" t="str">
        <f t="shared" si="55"/>
        <v>1218-149779-44788</v>
      </c>
    </row>
    <row r="3533" spans="1:5" ht="14.25" customHeight="1">
      <c r="A3533" s="4">
        <v>1218</v>
      </c>
      <c r="B3533" s="4">
        <v>189933</v>
      </c>
      <c r="C3533" s="17">
        <v>44739</v>
      </c>
      <c r="D3533" s="4">
        <v>42</v>
      </c>
      <c r="E3533" t="str">
        <f t="shared" si="55"/>
        <v>1218-189933-44739</v>
      </c>
    </row>
    <row r="3534" spans="1:5" ht="14.25" customHeight="1">
      <c r="A3534" s="4">
        <v>1218</v>
      </c>
      <c r="B3534" s="4">
        <v>189933</v>
      </c>
      <c r="C3534" s="17">
        <v>44746</v>
      </c>
      <c r="D3534" s="4">
        <v>31</v>
      </c>
      <c r="E3534" t="str">
        <f t="shared" si="55"/>
        <v>1218-189933-44746</v>
      </c>
    </row>
    <row r="3535" spans="1:5" ht="14.25" customHeight="1">
      <c r="A3535" s="4">
        <v>1218</v>
      </c>
      <c r="B3535" s="4">
        <v>189933</v>
      </c>
      <c r="C3535" s="17">
        <v>44753</v>
      </c>
      <c r="D3535" s="4">
        <v>39</v>
      </c>
      <c r="E3535" t="str">
        <f t="shared" si="55"/>
        <v>1218-189933-44753</v>
      </c>
    </row>
    <row r="3536" spans="1:5" ht="14.25" customHeight="1">
      <c r="A3536" s="4">
        <v>1218</v>
      </c>
      <c r="B3536" s="4">
        <v>189933</v>
      </c>
      <c r="C3536" s="17">
        <v>44760</v>
      </c>
      <c r="D3536" s="4">
        <v>43</v>
      </c>
      <c r="E3536" t="str">
        <f t="shared" si="55"/>
        <v>1218-189933-44760</v>
      </c>
    </row>
    <row r="3537" spans="1:5" ht="14.25" customHeight="1">
      <c r="A3537" s="4">
        <v>1218</v>
      </c>
      <c r="B3537" s="4">
        <v>189933</v>
      </c>
      <c r="C3537" s="17">
        <v>44767</v>
      </c>
      <c r="D3537" s="4">
        <v>47</v>
      </c>
      <c r="E3537" t="str">
        <f t="shared" si="55"/>
        <v>1218-189933-44767</v>
      </c>
    </row>
    <row r="3538" spans="1:5" ht="14.25" customHeight="1">
      <c r="A3538" s="4">
        <v>1218</v>
      </c>
      <c r="B3538" s="4">
        <v>189933</v>
      </c>
      <c r="C3538" s="17">
        <v>44774</v>
      </c>
      <c r="D3538" s="4">
        <v>44</v>
      </c>
      <c r="E3538" t="str">
        <f t="shared" si="55"/>
        <v>1218-189933-44774</v>
      </c>
    </row>
    <row r="3539" spans="1:5" ht="14.25" customHeight="1">
      <c r="A3539" s="4">
        <v>1218</v>
      </c>
      <c r="B3539" s="4">
        <v>189933</v>
      </c>
      <c r="C3539" s="17">
        <v>44781</v>
      </c>
      <c r="D3539" s="4">
        <v>45</v>
      </c>
      <c r="E3539" t="str">
        <f t="shared" si="55"/>
        <v>1218-189933-44781</v>
      </c>
    </row>
    <row r="3540" spans="1:5" ht="14.25" customHeight="1">
      <c r="A3540" s="4">
        <v>1218</v>
      </c>
      <c r="B3540" s="4">
        <v>189933</v>
      </c>
      <c r="C3540" s="17">
        <v>44788</v>
      </c>
      <c r="D3540" s="4">
        <v>45</v>
      </c>
      <c r="E3540" t="str">
        <f t="shared" si="55"/>
        <v>1218-189933-44788</v>
      </c>
    </row>
    <row r="3541" spans="1:5" ht="14.25" customHeight="1">
      <c r="A3541" s="4">
        <v>1218</v>
      </c>
      <c r="B3541" s="4">
        <v>202577</v>
      </c>
      <c r="C3541" s="17">
        <v>44739</v>
      </c>
      <c r="D3541" s="4">
        <v>38</v>
      </c>
      <c r="E3541" t="str">
        <f t="shared" si="55"/>
        <v>1218-202577-44739</v>
      </c>
    </row>
    <row r="3542" spans="1:5" ht="14.25" customHeight="1">
      <c r="A3542" s="4">
        <v>1218</v>
      </c>
      <c r="B3542" s="4">
        <v>202577</v>
      </c>
      <c r="C3542" s="17">
        <v>44746</v>
      </c>
      <c r="D3542" s="4">
        <v>43</v>
      </c>
      <c r="E3542" t="str">
        <f t="shared" si="55"/>
        <v>1218-202577-44746</v>
      </c>
    </row>
    <row r="3543" spans="1:5" ht="14.25" customHeight="1">
      <c r="A3543" s="4">
        <v>1218</v>
      </c>
      <c r="B3543" s="4">
        <v>202577</v>
      </c>
      <c r="C3543" s="17">
        <v>44753</v>
      </c>
      <c r="D3543" s="4">
        <v>9</v>
      </c>
      <c r="E3543" t="str">
        <f t="shared" si="55"/>
        <v>1218-202577-44753</v>
      </c>
    </row>
    <row r="3544" spans="1:5" ht="14.25" customHeight="1">
      <c r="A3544" s="4">
        <v>1218</v>
      </c>
      <c r="B3544" s="4">
        <v>202577</v>
      </c>
      <c r="C3544" s="17">
        <v>44760</v>
      </c>
      <c r="D3544" s="4">
        <v>24</v>
      </c>
      <c r="E3544" t="str">
        <f t="shared" si="55"/>
        <v>1218-202577-44760</v>
      </c>
    </row>
    <row r="3545" spans="1:5" ht="14.25" customHeight="1">
      <c r="A3545" s="4">
        <v>1218</v>
      </c>
      <c r="B3545" s="4">
        <v>202577</v>
      </c>
      <c r="C3545" s="17">
        <v>44767</v>
      </c>
      <c r="D3545" s="4">
        <v>33</v>
      </c>
      <c r="E3545" t="str">
        <f t="shared" si="55"/>
        <v>1218-202577-44767</v>
      </c>
    </row>
    <row r="3546" spans="1:5" ht="14.25" customHeight="1">
      <c r="A3546" s="4">
        <v>1218</v>
      </c>
      <c r="B3546" s="4">
        <v>202577</v>
      </c>
      <c r="C3546" s="17">
        <v>44774</v>
      </c>
      <c r="D3546" s="4">
        <v>39</v>
      </c>
      <c r="E3546" t="str">
        <f t="shared" si="55"/>
        <v>1218-202577-44774</v>
      </c>
    </row>
    <row r="3547" spans="1:5" ht="14.25" customHeight="1">
      <c r="A3547" s="4">
        <v>1218</v>
      </c>
      <c r="B3547" s="4">
        <v>202577</v>
      </c>
      <c r="C3547" s="17">
        <v>44781</v>
      </c>
      <c r="D3547" s="4">
        <v>8</v>
      </c>
      <c r="E3547" t="str">
        <f t="shared" si="55"/>
        <v>1218-202577-44781</v>
      </c>
    </row>
    <row r="3548" spans="1:5" ht="14.25" customHeight="1">
      <c r="A3548" s="4">
        <v>1218</v>
      </c>
      <c r="B3548" s="4">
        <v>202577</v>
      </c>
      <c r="C3548" s="17">
        <v>44788</v>
      </c>
      <c r="D3548" s="4">
        <v>18</v>
      </c>
      <c r="E3548" t="str">
        <f t="shared" si="55"/>
        <v>1218-202577-44788</v>
      </c>
    </row>
    <row r="3549" spans="1:5" ht="14.25" customHeight="1">
      <c r="A3549" s="4">
        <v>1218</v>
      </c>
      <c r="B3549" s="4">
        <v>234334</v>
      </c>
      <c r="C3549" s="17">
        <v>44739</v>
      </c>
      <c r="D3549" s="4">
        <v>44</v>
      </c>
      <c r="E3549" t="str">
        <f t="shared" si="55"/>
        <v>1218-234334-44739</v>
      </c>
    </row>
    <row r="3550" spans="1:5" ht="14.25" customHeight="1">
      <c r="A3550" s="4">
        <v>1218</v>
      </c>
      <c r="B3550" s="4">
        <v>234334</v>
      </c>
      <c r="C3550" s="17">
        <v>44746</v>
      </c>
      <c r="D3550" s="4">
        <v>20</v>
      </c>
      <c r="E3550" t="str">
        <f t="shared" si="55"/>
        <v>1218-234334-44746</v>
      </c>
    </row>
    <row r="3551" spans="1:5" ht="14.25" customHeight="1">
      <c r="A3551" s="4">
        <v>1218</v>
      </c>
      <c r="B3551" s="4">
        <v>234334</v>
      </c>
      <c r="C3551" s="17">
        <v>44753</v>
      </c>
      <c r="D3551" s="4">
        <v>30</v>
      </c>
      <c r="E3551" t="str">
        <f t="shared" si="55"/>
        <v>1218-234334-44753</v>
      </c>
    </row>
    <row r="3552" spans="1:5" ht="14.25" customHeight="1">
      <c r="A3552" s="4">
        <v>1218</v>
      </c>
      <c r="B3552" s="4">
        <v>234334</v>
      </c>
      <c r="C3552" s="17">
        <v>44760</v>
      </c>
      <c r="D3552" s="4">
        <v>36</v>
      </c>
      <c r="E3552" t="str">
        <f t="shared" si="55"/>
        <v>1218-234334-44760</v>
      </c>
    </row>
    <row r="3553" spans="1:5" ht="14.25" customHeight="1">
      <c r="A3553" s="4">
        <v>1218</v>
      </c>
      <c r="B3553" s="4">
        <v>234334</v>
      </c>
      <c r="C3553" s="17">
        <v>44767</v>
      </c>
      <c r="D3553" s="4">
        <v>45</v>
      </c>
      <c r="E3553" t="str">
        <f t="shared" si="55"/>
        <v>1218-234334-44767</v>
      </c>
    </row>
    <row r="3554" spans="1:5" ht="14.25" customHeight="1">
      <c r="A3554" s="4">
        <v>1218</v>
      </c>
      <c r="B3554" s="4">
        <v>234334</v>
      </c>
      <c r="C3554" s="17">
        <v>44774</v>
      </c>
      <c r="D3554" s="4">
        <v>39</v>
      </c>
      <c r="E3554" t="str">
        <f t="shared" si="55"/>
        <v>1218-234334-44774</v>
      </c>
    </row>
    <row r="3555" spans="1:5" ht="14.25" customHeight="1">
      <c r="A3555" s="4">
        <v>1218</v>
      </c>
      <c r="B3555" s="4">
        <v>234334</v>
      </c>
      <c r="C3555" s="17">
        <v>44781</v>
      </c>
      <c r="D3555" s="4">
        <v>21</v>
      </c>
      <c r="E3555" t="str">
        <f t="shared" si="55"/>
        <v>1218-234334-44781</v>
      </c>
    </row>
    <row r="3556" spans="1:5" ht="14.25" customHeight="1">
      <c r="A3556" s="4">
        <v>1218</v>
      </c>
      <c r="B3556" s="4">
        <v>234334</v>
      </c>
      <c r="C3556" s="17">
        <v>44788</v>
      </c>
      <c r="D3556" s="4">
        <v>36</v>
      </c>
      <c r="E3556" t="str">
        <f t="shared" si="55"/>
        <v>1218-234334-44788</v>
      </c>
    </row>
    <row r="3557" spans="1:5" ht="14.25" customHeight="1">
      <c r="A3557" s="4">
        <v>1218</v>
      </c>
      <c r="B3557" s="4">
        <v>249444</v>
      </c>
      <c r="C3557" s="17">
        <v>44739</v>
      </c>
      <c r="D3557" s="4">
        <v>37</v>
      </c>
      <c r="E3557" t="str">
        <f t="shared" si="55"/>
        <v>1218-249444-44739</v>
      </c>
    </row>
    <row r="3558" spans="1:5" ht="14.25" customHeight="1">
      <c r="A3558" s="4">
        <v>1218</v>
      </c>
      <c r="B3558" s="4">
        <v>249444</v>
      </c>
      <c r="C3558" s="17">
        <v>44746</v>
      </c>
      <c r="D3558" s="4">
        <v>36</v>
      </c>
      <c r="E3558" t="str">
        <f t="shared" si="55"/>
        <v>1218-249444-44746</v>
      </c>
    </row>
    <row r="3559" spans="1:5" ht="14.25" customHeight="1">
      <c r="A3559" s="4">
        <v>1218</v>
      </c>
      <c r="B3559" s="4">
        <v>249444</v>
      </c>
      <c r="C3559" s="17">
        <v>44753</v>
      </c>
      <c r="D3559" s="4">
        <v>36</v>
      </c>
      <c r="E3559" t="str">
        <f t="shared" si="55"/>
        <v>1218-249444-44753</v>
      </c>
    </row>
    <row r="3560" spans="1:5" ht="14.25" customHeight="1">
      <c r="A3560" s="4">
        <v>1218</v>
      </c>
      <c r="B3560" s="4">
        <v>249444</v>
      </c>
      <c r="C3560" s="17">
        <v>44760</v>
      </c>
      <c r="D3560" s="4">
        <v>33</v>
      </c>
      <c r="E3560" t="str">
        <f t="shared" si="55"/>
        <v>1218-249444-44760</v>
      </c>
    </row>
    <row r="3561" spans="1:5" ht="14.25" customHeight="1">
      <c r="A3561" s="4">
        <v>1218</v>
      </c>
      <c r="B3561" s="4">
        <v>249444</v>
      </c>
      <c r="C3561" s="17">
        <v>44767</v>
      </c>
      <c r="D3561" s="4">
        <v>35</v>
      </c>
      <c r="E3561" t="str">
        <f t="shared" si="55"/>
        <v>1218-249444-44767</v>
      </c>
    </row>
    <row r="3562" spans="1:5" ht="14.25" customHeight="1">
      <c r="A3562" s="4">
        <v>1218</v>
      </c>
      <c r="B3562" s="4">
        <v>249444</v>
      </c>
      <c r="C3562" s="17">
        <v>44774</v>
      </c>
      <c r="D3562" s="4">
        <v>33</v>
      </c>
      <c r="E3562" t="str">
        <f t="shared" si="55"/>
        <v>1218-249444-44774</v>
      </c>
    </row>
    <row r="3563" spans="1:5" ht="14.25" customHeight="1">
      <c r="A3563" s="4">
        <v>1218</v>
      </c>
      <c r="B3563" s="4">
        <v>249444</v>
      </c>
      <c r="C3563" s="17">
        <v>44781</v>
      </c>
      <c r="D3563" s="4">
        <v>40</v>
      </c>
      <c r="E3563" t="str">
        <f t="shared" si="55"/>
        <v>1218-249444-44781</v>
      </c>
    </row>
    <row r="3564" spans="1:5" ht="14.25" customHeight="1">
      <c r="A3564" s="4">
        <v>1218</v>
      </c>
      <c r="B3564" s="4">
        <v>249444</v>
      </c>
      <c r="C3564" s="17">
        <v>44788</v>
      </c>
      <c r="D3564" s="4">
        <v>23</v>
      </c>
      <c r="E3564" t="str">
        <f t="shared" si="55"/>
        <v>1218-249444-44788</v>
      </c>
    </row>
    <row r="3565" spans="1:5" ht="14.25" customHeight="1">
      <c r="A3565" s="4">
        <v>1218</v>
      </c>
      <c r="B3565" s="4">
        <v>249795</v>
      </c>
      <c r="C3565" s="17">
        <v>44739</v>
      </c>
      <c r="D3565" s="4">
        <v>15</v>
      </c>
      <c r="E3565" t="str">
        <f t="shared" si="55"/>
        <v>1218-249795-44739</v>
      </c>
    </row>
    <row r="3566" spans="1:5" ht="14.25" customHeight="1">
      <c r="A3566" s="4">
        <v>1218</v>
      </c>
      <c r="B3566" s="4">
        <v>249795</v>
      </c>
      <c r="C3566" s="17">
        <v>44746</v>
      </c>
      <c r="D3566" s="4">
        <v>15</v>
      </c>
      <c r="E3566" t="str">
        <f t="shared" si="55"/>
        <v>1218-249795-44746</v>
      </c>
    </row>
    <row r="3567" spans="1:5" ht="14.25" customHeight="1">
      <c r="A3567" s="4">
        <v>1218</v>
      </c>
      <c r="B3567" s="4">
        <v>249795</v>
      </c>
      <c r="C3567" s="17">
        <v>44753</v>
      </c>
      <c r="D3567" s="4">
        <v>15</v>
      </c>
      <c r="E3567" t="str">
        <f t="shared" si="55"/>
        <v>1218-249795-44753</v>
      </c>
    </row>
    <row r="3568" spans="1:5" ht="14.25" customHeight="1">
      <c r="A3568" s="4">
        <v>1218</v>
      </c>
      <c r="B3568" s="4">
        <v>249795</v>
      </c>
      <c r="C3568" s="17">
        <v>44760</v>
      </c>
      <c r="D3568" s="4">
        <v>15</v>
      </c>
      <c r="E3568" t="str">
        <f t="shared" si="55"/>
        <v>1218-249795-44760</v>
      </c>
    </row>
    <row r="3569" spans="1:5" ht="14.25" customHeight="1">
      <c r="A3569" s="4">
        <v>1218</v>
      </c>
      <c r="B3569" s="4">
        <v>249795</v>
      </c>
      <c r="C3569" s="17">
        <v>44767</v>
      </c>
      <c r="D3569" s="4">
        <v>15</v>
      </c>
      <c r="E3569" t="str">
        <f t="shared" si="55"/>
        <v>1218-249795-44767</v>
      </c>
    </row>
    <row r="3570" spans="1:5" ht="14.25" customHeight="1">
      <c r="A3570" s="4">
        <v>1218</v>
      </c>
      <c r="B3570" s="4">
        <v>249795</v>
      </c>
      <c r="C3570" s="17">
        <v>44774</v>
      </c>
      <c r="D3570" s="4">
        <v>15</v>
      </c>
      <c r="E3570" t="str">
        <f t="shared" si="55"/>
        <v>1218-249795-44774</v>
      </c>
    </row>
    <row r="3571" spans="1:5" ht="14.25" customHeight="1">
      <c r="A3571" s="4">
        <v>1218</v>
      </c>
      <c r="B3571" s="4">
        <v>249795</v>
      </c>
      <c r="C3571" s="17">
        <v>44781</v>
      </c>
      <c r="D3571" s="4">
        <v>15</v>
      </c>
      <c r="E3571" t="str">
        <f t="shared" si="55"/>
        <v>1218-249795-44781</v>
      </c>
    </row>
    <row r="3572" spans="1:5" ht="14.25" customHeight="1">
      <c r="A3572" s="4">
        <v>1218</v>
      </c>
      <c r="B3572" s="4">
        <v>249795</v>
      </c>
      <c r="C3572" s="17">
        <v>44788</v>
      </c>
      <c r="D3572" s="4">
        <v>15</v>
      </c>
      <c r="E3572" t="str">
        <f t="shared" si="55"/>
        <v>1218-249795-44788</v>
      </c>
    </row>
    <row r="3573" spans="1:5" ht="14.25" customHeight="1">
      <c r="A3573" s="4">
        <v>1218</v>
      </c>
      <c r="B3573" s="4">
        <v>250979</v>
      </c>
      <c r="C3573" s="17">
        <v>44739</v>
      </c>
      <c r="D3573" s="4">
        <v>18</v>
      </c>
      <c r="E3573" t="str">
        <f t="shared" si="55"/>
        <v>1218-250979-44739</v>
      </c>
    </row>
    <row r="3574" spans="1:5" ht="14.25" customHeight="1">
      <c r="A3574" s="4">
        <v>1218</v>
      </c>
      <c r="B3574" s="4">
        <v>250979</v>
      </c>
      <c r="C3574" s="17">
        <v>44746</v>
      </c>
      <c r="D3574" s="4">
        <v>16</v>
      </c>
      <c r="E3574" t="str">
        <f t="shared" si="55"/>
        <v>1218-250979-44746</v>
      </c>
    </row>
    <row r="3575" spans="1:5" ht="14.25" customHeight="1">
      <c r="A3575" s="4">
        <v>1218</v>
      </c>
      <c r="B3575" s="4">
        <v>250979</v>
      </c>
      <c r="C3575" s="17">
        <v>44753</v>
      </c>
      <c r="D3575" s="4">
        <v>30</v>
      </c>
      <c r="E3575" t="str">
        <f t="shared" si="55"/>
        <v>1218-250979-44753</v>
      </c>
    </row>
    <row r="3576" spans="1:5" ht="14.25" customHeight="1">
      <c r="A3576" s="4">
        <v>1218</v>
      </c>
      <c r="B3576" s="4">
        <v>250979</v>
      </c>
      <c r="C3576" s="17">
        <v>44760</v>
      </c>
      <c r="D3576" s="4">
        <v>33</v>
      </c>
      <c r="E3576" t="str">
        <f t="shared" si="55"/>
        <v>1218-250979-44760</v>
      </c>
    </row>
    <row r="3577" spans="1:5" ht="14.25" customHeight="1">
      <c r="A3577" s="4">
        <v>1218</v>
      </c>
      <c r="B3577" s="4">
        <v>250979</v>
      </c>
      <c r="C3577" s="17">
        <v>44767</v>
      </c>
      <c r="D3577" s="4">
        <v>44</v>
      </c>
      <c r="E3577" t="str">
        <f t="shared" si="55"/>
        <v>1218-250979-44767</v>
      </c>
    </row>
    <row r="3578" spans="1:5" ht="14.25" customHeight="1">
      <c r="A3578" s="4">
        <v>1218</v>
      </c>
      <c r="B3578" s="4">
        <v>250979</v>
      </c>
      <c r="C3578" s="17">
        <v>44774</v>
      </c>
      <c r="D3578" s="4">
        <v>41</v>
      </c>
      <c r="E3578" t="str">
        <f t="shared" si="55"/>
        <v>1218-250979-44774</v>
      </c>
    </row>
    <row r="3579" spans="1:5" ht="14.25" customHeight="1">
      <c r="A3579" s="4">
        <v>1218</v>
      </c>
      <c r="B3579" s="4">
        <v>250979</v>
      </c>
      <c r="C3579" s="17">
        <v>44781</v>
      </c>
      <c r="D3579" s="4">
        <v>36</v>
      </c>
      <c r="E3579" t="str">
        <f t="shared" si="55"/>
        <v>1218-250979-44781</v>
      </c>
    </row>
    <row r="3580" spans="1:5" ht="14.25" customHeight="1">
      <c r="A3580" s="4">
        <v>1218</v>
      </c>
      <c r="B3580" s="4">
        <v>250979</v>
      </c>
      <c r="C3580" s="17">
        <v>44788</v>
      </c>
      <c r="D3580" s="4">
        <v>30</v>
      </c>
      <c r="E3580" t="str">
        <f t="shared" si="55"/>
        <v>1218-250979-44788</v>
      </c>
    </row>
    <row r="3581" spans="1:5" ht="14.25" customHeight="1">
      <c r="A3581" s="4">
        <v>1218</v>
      </c>
      <c r="B3581" s="4">
        <v>250981</v>
      </c>
      <c r="C3581" s="17">
        <v>44739</v>
      </c>
      <c r="D3581" s="4">
        <v>3</v>
      </c>
      <c r="E3581" t="str">
        <f t="shared" si="55"/>
        <v>1218-250981-44739</v>
      </c>
    </row>
    <row r="3582" spans="1:5" ht="14.25" customHeight="1">
      <c r="A3582" s="4">
        <v>1218</v>
      </c>
      <c r="B3582" s="4">
        <v>250981</v>
      </c>
      <c r="C3582" s="17">
        <v>44746</v>
      </c>
      <c r="D3582" s="4">
        <v>3</v>
      </c>
      <c r="E3582" t="str">
        <f t="shared" si="55"/>
        <v>1218-250981-44746</v>
      </c>
    </row>
    <row r="3583" spans="1:5" ht="14.25" customHeight="1">
      <c r="A3583" s="4">
        <v>1218</v>
      </c>
      <c r="B3583" s="4">
        <v>250981</v>
      </c>
      <c r="C3583" s="17">
        <v>44753</v>
      </c>
      <c r="D3583" s="4">
        <v>3</v>
      </c>
      <c r="E3583" t="str">
        <f t="shared" si="55"/>
        <v>1218-250981-44753</v>
      </c>
    </row>
    <row r="3584" spans="1:5" ht="14.25" customHeight="1">
      <c r="A3584" s="4">
        <v>1218</v>
      </c>
      <c r="B3584" s="4">
        <v>250981</v>
      </c>
      <c r="C3584" s="17">
        <v>44760</v>
      </c>
      <c r="D3584" s="4">
        <v>3</v>
      </c>
      <c r="E3584" t="str">
        <f t="shared" si="55"/>
        <v>1218-250981-44760</v>
      </c>
    </row>
    <row r="3585" spans="1:5" ht="14.25" customHeight="1">
      <c r="A3585" s="4">
        <v>1218</v>
      </c>
      <c r="B3585" s="4">
        <v>250981</v>
      </c>
      <c r="C3585" s="17">
        <v>44767</v>
      </c>
      <c r="D3585" s="4">
        <v>3</v>
      </c>
      <c r="E3585" t="str">
        <f t="shared" si="55"/>
        <v>1218-250981-44767</v>
      </c>
    </row>
    <row r="3586" spans="1:5" ht="14.25" customHeight="1">
      <c r="A3586" s="4">
        <v>1218</v>
      </c>
      <c r="B3586" s="4">
        <v>250981</v>
      </c>
      <c r="C3586" s="17">
        <v>44774</v>
      </c>
      <c r="D3586" s="4">
        <v>3</v>
      </c>
      <c r="E3586" t="str">
        <f t="shared" si="55"/>
        <v>1218-250981-44774</v>
      </c>
    </row>
    <row r="3587" spans="1:5" ht="14.25" customHeight="1">
      <c r="A3587" s="4">
        <v>1218</v>
      </c>
      <c r="B3587" s="4">
        <v>250981</v>
      </c>
      <c r="C3587" s="17">
        <v>44781</v>
      </c>
      <c r="D3587" s="4">
        <v>3</v>
      </c>
      <c r="E3587" t="str">
        <f t="shared" ref="E3587:E3650" si="56">A3587&amp;"-"&amp;B3587&amp;"-"&amp;INT(C3587)</f>
        <v>1218-250981-44781</v>
      </c>
    </row>
    <row r="3588" spans="1:5" ht="14.25" customHeight="1">
      <c r="A3588" s="4">
        <v>1218</v>
      </c>
      <c r="B3588" s="4">
        <v>250981</v>
      </c>
      <c r="C3588" s="17">
        <v>44788</v>
      </c>
      <c r="D3588" s="4">
        <v>3</v>
      </c>
      <c r="E3588" t="str">
        <f t="shared" si="56"/>
        <v>1218-250981-44788</v>
      </c>
    </row>
    <row r="3589" spans="1:5" ht="14.25" customHeight="1">
      <c r="A3589" s="4">
        <v>1218</v>
      </c>
      <c r="B3589" s="4">
        <v>262294</v>
      </c>
      <c r="C3589" s="17">
        <v>44739</v>
      </c>
      <c r="D3589" s="4">
        <v>50</v>
      </c>
      <c r="E3589" t="str">
        <f t="shared" si="56"/>
        <v>1218-262294-44739</v>
      </c>
    </row>
    <row r="3590" spans="1:5" ht="14.25" customHeight="1">
      <c r="A3590" s="4">
        <v>1218</v>
      </c>
      <c r="B3590" s="4">
        <v>262294</v>
      </c>
      <c r="C3590" s="17">
        <v>44746</v>
      </c>
      <c r="D3590" s="4">
        <v>78</v>
      </c>
      <c r="E3590" t="str">
        <f t="shared" si="56"/>
        <v>1218-262294-44746</v>
      </c>
    </row>
    <row r="3591" spans="1:5" ht="14.25" customHeight="1">
      <c r="A3591" s="4">
        <v>1218</v>
      </c>
      <c r="B3591" s="4">
        <v>262294</v>
      </c>
      <c r="C3591" s="17">
        <v>44753</v>
      </c>
      <c r="D3591" s="4">
        <v>57</v>
      </c>
      <c r="E3591" t="str">
        <f t="shared" si="56"/>
        <v>1218-262294-44753</v>
      </c>
    </row>
    <row r="3592" spans="1:5" ht="14.25" customHeight="1">
      <c r="A3592" s="4">
        <v>1218</v>
      </c>
      <c r="B3592" s="4">
        <v>262294</v>
      </c>
      <c r="C3592" s="17">
        <v>44760</v>
      </c>
      <c r="D3592" s="4">
        <v>79</v>
      </c>
      <c r="E3592" t="str">
        <f t="shared" si="56"/>
        <v>1218-262294-44760</v>
      </c>
    </row>
    <row r="3593" spans="1:5" ht="14.25" customHeight="1">
      <c r="A3593" s="4">
        <v>1218</v>
      </c>
      <c r="B3593" s="4">
        <v>262294</v>
      </c>
      <c r="C3593" s="17">
        <v>44767</v>
      </c>
      <c r="D3593" s="4">
        <v>70</v>
      </c>
      <c r="E3593" t="str">
        <f t="shared" si="56"/>
        <v>1218-262294-44767</v>
      </c>
    </row>
    <row r="3594" spans="1:5" ht="14.25" customHeight="1">
      <c r="A3594" s="4">
        <v>1218</v>
      </c>
      <c r="B3594" s="4">
        <v>262294</v>
      </c>
      <c r="C3594" s="17">
        <v>44774</v>
      </c>
      <c r="D3594" s="4">
        <v>19</v>
      </c>
      <c r="E3594" t="str">
        <f t="shared" si="56"/>
        <v>1218-262294-44774</v>
      </c>
    </row>
    <row r="3595" spans="1:5" ht="14.25" customHeight="1">
      <c r="A3595" s="4">
        <v>1218</v>
      </c>
      <c r="B3595" s="4">
        <v>262294</v>
      </c>
      <c r="C3595" s="17">
        <v>44781</v>
      </c>
      <c r="D3595" s="4">
        <v>16</v>
      </c>
      <c r="E3595" t="str">
        <f t="shared" si="56"/>
        <v>1218-262294-44781</v>
      </c>
    </row>
    <row r="3596" spans="1:5" ht="14.25" customHeight="1">
      <c r="A3596" s="4">
        <v>1218</v>
      </c>
      <c r="B3596" s="4">
        <v>262294</v>
      </c>
      <c r="C3596" s="17">
        <v>44788</v>
      </c>
      <c r="D3596" s="4">
        <v>73</v>
      </c>
      <c r="E3596" t="str">
        <f t="shared" si="56"/>
        <v>1218-262294-44788</v>
      </c>
    </row>
    <row r="3597" spans="1:5" ht="14.25" customHeight="1">
      <c r="A3597" s="4">
        <v>1218</v>
      </c>
      <c r="B3597" s="4">
        <v>268831</v>
      </c>
      <c r="C3597" s="17">
        <v>44739</v>
      </c>
      <c r="D3597" s="4">
        <v>74</v>
      </c>
      <c r="E3597" t="str">
        <f t="shared" si="56"/>
        <v>1218-268831-44739</v>
      </c>
    </row>
    <row r="3598" spans="1:5" ht="14.25" customHeight="1">
      <c r="A3598" s="4">
        <v>1218</v>
      </c>
      <c r="B3598" s="4">
        <v>268831</v>
      </c>
      <c r="C3598" s="17">
        <v>44746</v>
      </c>
      <c r="D3598" s="4">
        <v>204</v>
      </c>
      <c r="E3598" t="str">
        <f t="shared" si="56"/>
        <v>1218-268831-44746</v>
      </c>
    </row>
    <row r="3599" spans="1:5" ht="14.25" customHeight="1">
      <c r="A3599" s="4">
        <v>1218</v>
      </c>
      <c r="B3599" s="4">
        <v>268831</v>
      </c>
      <c r="C3599" s="17">
        <v>44753</v>
      </c>
      <c r="D3599" s="4">
        <v>270</v>
      </c>
      <c r="E3599" t="str">
        <f t="shared" si="56"/>
        <v>1218-268831-44753</v>
      </c>
    </row>
    <row r="3600" spans="1:5" ht="14.25" customHeight="1">
      <c r="A3600" s="4">
        <v>1218</v>
      </c>
      <c r="B3600" s="4">
        <v>268831</v>
      </c>
      <c r="C3600" s="17">
        <v>44760</v>
      </c>
      <c r="D3600" s="4">
        <v>256</v>
      </c>
      <c r="E3600" t="str">
        <f t="shared" si="56"/>
        <v>1218-268831-44760</v>
      </c>
    </row>
    <row r="3601" spans="1:5" ht="14.25" customHeight="1">
      <c r="A3601" s="4">
        <v>1218</v>
      </c>
      <c r="B3601" s="4">
        <v>268831</v>
      </c>
      <c r="C3601" s="17">
        <v>44767</v>
      </c>
      <c r="D3601" s="4">
        <v>72</v>
      </c>
      <c r="E3601" t="str">
        <f t="shared" si="56"/>
        <v>1218-268831-44767</v>
      </c>
    </row>
    <row r="3602" spans="1:5" ht="14.25" customHeight="1">
      <c r="A3602" s="4">
        <v>1218</v>
      </c>
      <c r="B3602" s="4">
        <v>268831</v>
      </c>
      <c r="C3602" s="17">
        <v>44774</v>
      </c>
      <c r="D3602" s="4">
        <v>270</v>
      </c>
      <c r="E3602" t="str">
        <f t="shared" si="56"/>
        <v>1218-268831-44774</v>
      </c>
    </row>
    <row r="3603" spans="1:5" ht="14.25" customHeight="1">
      <c r="A3603" s="4">
        <v>1218</v>
      </c>
      <c r="B3603" s="4">
        <v>268831</v>
      </c>
      <c r="C3603" s="17">
        <v>44781</v>
      </c>
      <c r="D3603" s="4">
        <v>209</v>
      </c>
      <c r="E3603" t="str">
        <f t="shared" si="56"/>
        <v>1218-268831-44781</v>
      </c>
    </row>
    <row r="3604" spans="1:5" ht="14.25" customHeight="1">
      <c r="A3604" s="4">
        <v>1218</v>
      </c>
      <c r="B3604" s="4">
        <v>268831</v>
      </c>
      <c r="C3604" s="17">
        <v>44788</v>
      </c>
      <c r="D3604" s="4">
        <v>71</v>
      </c>
      <c r="E3604" t="str">
        <f t="shared" si="56"/>
        <v>1218-268831-44788</v>
      </c>
    </row>
    <row r="3605" spans="1:5" ht="14.25" customHeight="1">
      <c r="A3605" s="4">
        <v>1218</v>
      </c>
      <c r="B3605" s="4">
        <v>273701</v>
      </c>
      <c r="C3605" s="17">
        <v>44739</v>
      </c>
      <c r="D3605" s="4">
        <v>346</v>
      </c>
      <c r="E3605" t="str">
        <f t="shared" si="56"/>
        <v>1218-273701-44739</v>
      </c>
    </row>
    <row r="3606" spans="1:5" ht="14.25" customHeight="1">
      <c r="A3606" s="4">
        <v>1218</v>
      </c>
      <c r="B3606" s="4">
        <v>273701</v>
      </c>
      <c r="C3606" s="17">
        <v>44746</v>
      </c>
      <c r="D3606" s="4">
        <v>298</v>
      </c>
      <c r="E3606" t="str">
        <f t="shared" si="56"/>
        <v>1218-273701-44746</v>
      </c>
    </row>
    <row r="3607" spans="1:5" ht="14.25" customHeight="1">
      <c r="A3607" s="4">
        <v>1218</v>
      </c>
      <c r="B3607" s="4">
        <v>273701</v>
      </c>
      <c r="C3607" s="17">
        <v>44753</v>
      </c>
      <c r="D3607" s="4">
        <v>380</v>
      </c>
      <c r="E3607" t="str">
        <f t="shared" si="56"/>
        <v>1218-273701-44753</v>
      </c>
    </row>
    <row r="3608" spans="1:5" ht="14.25" customHeight="1">
      <c r="A3608" s="4">
        <v>1218</v>
      </c>
      <c r="B3608" s="4">
        <v>273701</v>
      </c>
      <c r="C3608" s="17">
        <v>44760</v>
      </c>
      <c r="D3608" s="4">
        <v>404</v>
      </c>
      <c r="E3608" t="str">
        <f t="shared" si="56"/>
        <v>1218-273701-44760</v>
      </c>
    </row>
    <row r="3609" spans="1:5" ht="14.25" customHeight="1">
      <c r="A3609" s="4">
        <v>1218</v>
      </c>
      <c r="B3609" s="4">
        <v>273701</v>
      </c>
      <c r="C3609" s="17">
        <v>44767</v>
      </c>
      <c r="D3609" s="4">
        <v>85</v>
      </c>
      <c r="E3609" t="str">
        <f t="shared" si="56"/>
        <v>1218-273701-44767</v>
      </c>
    </row>
    <row r="3610" spans="1:5" ht="14.25" customHeight="1">
      <c r="A3610" s="4">
        <v>1218</v>
      </c>
      <c r="B3610" s="4">
        <v>273701</v>
      </c>
      <c r="C3610" s="17">
        <v>44774</v>
      </c>
      <c r="D3610" s="4">
        <v>334</v>
      </c>
      <c r="E3610" t="str">
        <f t="shared" si="56"/>
        <v>1218-273701-44774</v>
      </c>
    </row>
    <row r="3611" spans="1:5" ht="14.25" customHeight="1">
      <c r="A3611" s="4">
        <v>1218</v>
      </c>
      <c r="B3611" s="4">
        <v>273701</v>
      </c>
      <c r="C3611" s="17">
        <v>44781</v>
      </c>
      <c r="D3611" s="4">
        <v>81</v>
      </c>
      <c r="E3611" t="str">
        <f t="shared" si="56"/>
        <v>1218-273701-44781</v>
      </c>
    </row>
    <row r="3612" spans="1:5" ht="14.25" customHeight="1">
      <c r="A3612" s="4">
        <v>1218</v>
      </c>
      <c r="B3612" s="4">
        <v>273701</v>
      </c>
      <c r="C3612" s="17">
        <v>44788</v>
      </c>
      <c r="D3612" s="4">
        <v>259</v>
      </c>
      <c r="E3612" t="str">
        <f t="shared" si="56"/>
        <v>1218-273701-44788</v>
      </c>
    </row>
    <row r="3613" spans="1:5" ht="14.25" customHeight="1">
      <c r="A3613" s="4">
        <v>1218</v>
      </c>
      <c r="B3613" s="4">
        <v>291726</v>
      </c>
      <c r="C3613" s="17">
        <v>44739</v>
      </c>
      <c r="D3613" s="4">
        <v>21</v>
      </c>
      <c r="E3613" t="str">
        <f t="shared" si="56"/>
        <v>1218-291726-44739</v>
      </c>
    </row>
    <row r="3614" spans="1:5" ht="14.25" customHeight="1">
      <c r="A3614" s="4">
        <v>1218</v>
      </c>
      <c r="B3614" s="4">
        <v>291726</v>
      </c>
      <c r="C3614" s="17">
        <v>44746</v>
      </c>
      <c r="D3614" s="4">
        <v>53</v>
      </c>
      <c r="E3614" t="str">
        <f t="shared" si="56"/>
        <v>1218-291726-44746</v>
      </c>
    </row>
    <row r="3615" spans="1:5" ht="14.25" customHeight="1">
      <c r="A3615" s="4">
        <v>1218</v>
      </c>
      <c r="B3615" s="4">
        <v>291726</v>
      </c>
      <c r="C3615" s="17">
        <v>44753</v>
      </c>
      <c r="D3615" s="4">
        <v>68</v>
      </c>
      <c r="E3615" t="str">
        <f t="shared" si="56"/>
        <v>1218-291726-44753</v>
      </c>
    </row>
    <row r="3616" spans="1:5" ht="14.25" customHeight="1">
      <c r="A3616" s="4">
        <v>1218</v>
      </c>
      <c r="B3616" s="4">
        <v>291726</v>
      </c>
      <c r="C3616" s="17">
        <v>44760</v>
      </c>
      <c r="D3616" s="4">
        <v>52</v>
      </c>
      <c r="E3616" t="str">
        <f t="shared" si="56"/>
        <v>1218-291726-44760</v>
      </c>
    </row>
    <row r="3617" spans="1:5" ht="14.25" customHeight="1">
      <c r="A3617" s="4">
        <v>1218</v>
      </c>
      <c r="B3617" s="4">
        <v>291726</v>
      </c>
      <c r="C3617" s="17">
        <v>44767</v>
      </c>
      <c r="D3617" s="4">
        <v>54</v>
      </c>
      <c r="E3617" t="str">
        <f t="shared" si="56"/>
        <v>1218-291726-44767</v>
      </c>
    </row>
    <row r="3618" spans="1:5" ht="14.25" customHeight="1">
      <c r="A3618" s="4">
        <v>1218</v>
      </c>
      <c r="B3618" s="4">
        <v>291726</v>
      </c>
      <c r="C3618" s="17">
        <v>44774</v>
      </c>
      <c r="D3618" s="4">
        <v>50</v>
      </c>
      <c r="E3618" t="str">
        <f t="shared" si="56"/>
        <v>1218-291726-44774</v>
      </c>
    </row>
    <row r="3619" spans="1:5" ht="14.25" customHeight="1">
      <c r="A3619" s="4">
        <v>1218</v>
      </c>
      <c r="B3619" s="4">
        <v>291726</v>
      </c>
      <c r="C3619" s="17">
        <v>44781</v>
      </c>
      <c r="D3619" s="4">
        <v>19</v>
      </c>
      <c r="E3619" t="str">
        <f t="shared" si="56"/>
        <v>1218-291726-44781</v>
      </c>
    </row>
    <row r="3620" spans="1:5" ht="14.25" customHeight="1">
      <c r="A3620" s="4">
        <v>1218</v>
      </c>
      <c r="B3620" s="4">
        <v>291726</v>
      </c>
      <c r="C3620" s="17">
        <v>44788</v>
      </c>
      <c r="D3620" s="4">
        <v>54</v>
      </c>
      <c r="E3620" t="str">
        <f t="shared" si="56"/>
        <v>1218-291726-44788</v>
      </c>
    </row>
    <row r="3621" spans="1:5" ht="14.25" customHeight="1">
      <c r="A3621" s="4">
        <v>1218</v>
      </c>
      <c r="B3621" s="4">
        <v>291728</v>
      </c>
      <c r="C3621" s="17">
        <v>44739</v>
      </c>
      <c r="D3621" s="4">
        <v>48</v>
      </c>
      <c r="E3621" t="str">
        <f t="shared" si="56"/>
        <v>1218-291728-44739</v>
      </c>
    </row>
    <row r="3622" spans="1:5" ht="14.25" customHeight="1">
      <c r="A3622" s="4">
        <v>1218</v>
      </c>
      <c r="B3622" s="4">
        <v>291728</v>
      </c>
      <c r="C3622" s="17">
        <v>44746</v>
      </c>
      <c r="D3622" s="4">
        <v>20</v>
      </c>
      <c r="E3622" t="str">
        <f t="shared" si="56"/>
        <v>1218-291728-44746</v>
      </c>
    </row>
    <row r="3623" spans="1:5" ht="14.25" customHeight="1">
      <c r="A3623" s="4">
        <v>1218</v>
      </c>
      <c r="B3623" s="4">
        <v>291728</v>
      </c>
      <c r="C3623" s="17">
        <v>44753</v>
      </c>
      <c r="D3623" s="4">
        <v>51</v>
      </c>
      <c r="E3623" t="str">
        <f t="shared" si="56"/>
        <v>1218-291728-44753</v>
      </c>
    </row>
    <row r="3624" spans="1:5" ht="14.25" customHeight="1">
      <c r="A3624" s="4">
        <v>1218</v>
      </c>
      <c r="B3624" s="4">
        <v>291728</v>
      </c>
      <c r="C3624" s="17">
        <v>44760</v>
      </c>
      <c r="D3624" s="4">
        <v>14</v>
      </c>
      <c r="E3624" t="str">
        <f t="shared" si="56"/>
        <v>1218-291728-44760</v>
      </c>
    </row>
    <row r="3625" spans="1:5" ht="14.25" customHeight="1">
      <c r="A3625" s="4">
        <v>1218</v>
      </c>
      <c r="B3625" s="4">
        <v>291728</v>
      </c>
      <c r="C3625" s="17">
        <v>44767</v>
      </c>
      <c r="D3625" s="4">
        <v>47</v>
      </c>
      <c r="E3625" t="str">
        <f t="shared" si="56"/>
        <v>1218-291728-44767</v>
      </c>
    </row>
    <row r="3626" spans="1:5" ht="14.25" customHeight="1">
      <c r="A3626" s="4">
        <v>1218</v>
      </c>
      <c r="B3626" s="4">
        <v>291728</v>
      </c>
      <c r="C3626" s="17">
        <v>44774</v>
      </c>
      <c r="D3626" s="4">
        <v>53</v>
      </c>
      <c r="E3626" t="str">
        <f t="shared" si="56"/>
        <v>1218-291728-44774</v>
      </c>
    </row>
    <row r="3627" spans="1:5" ht="14.25" customHeight="1">
      <c r="A3627" s="4">
        <v>1218</v>
      </c>
      <c r="B3627" s="4">
        <v>291728</v>
      </c>
      <c r="C3627" s="17">
        <v>44781</v>
      </c>
      <c r="D3627" s="4">
        <v>45</v>
      </c>
      <c r="E3627" t="str">
        <f t="shared" si="56"/>
        <v>1218-291728-44781</v>
      </c>
    </row>
    <row r="3628" spans="1:5" ht="14.25" customHeight="1">
      <c r="A3628" s="4">
        <v>1218</v>
      </c>
      <c r="B3628" s="4">
        <v>291728</v>
      </c>
      <c r="C3628" s="17">
        <v>44788</v>
      </c>
      <c r="D3628" s="4">
        <v>18</v>
      </c>
      <c r="E3628" t="str">
        <f t="shared" si="56"/>
        <v>1218-291728-44788</v>
      </c>
    </row>
    <row r="3629" spans="1:5" ht="14.25" customHeight="1">
      <c r="A3629" s="4">
        <v>1218</v>
      </c>
      <c r="B3629" s="4">
        <v>300380</v>
      </c>
      <c r="C3629" s="17">
        <v>44739</v>
      </c>
      <c r="D3629" s="4">
        <v>13</v>
      </c>
      <c r="E3629" t="str">
        <f t="shared" si="56"/>
        <v>1218-300380-44739</v>
      </c>
    </row>
    <row r="3630" spans="1:5" ht="14.25" customHeight="1">
      <c r="A3630" s="4">
        <v>1218</v>
      </c>
      <c r="B3630" s="4">
        <v>300380</v>
      </c>
      <c r="C3630" s="17">
        <v>44746</v>
      </c>
      <c r="D3630" s="4">
        <v>45</v>
      </c>
      <c r="E3630" t="str">
        <f t="shared" si="56"/>
        <v>1218-300380-44746</v>
      </c>
    </row>
    <row r="3631" spans="1:5" ht="14.25" customHeight="1">
      <c r="A3631" s="4">
        <v>1218</v>
      </c>
      <c r="B3631" s="4">
        <v>300380</v>
      </c>
      <c r="C3631" s="17">
        <v>44753</v>
      </c>
      <c r="D3631" s="4">
        <v>18</v>
      </c>
      <c r="E3631" t="str">
        <f t="shared" si="56"/>
        <v>1218-300380-44753</v>
      </c>
    </row>
    <row r="3632" spans="1:5" ht="14.25" customHeight="1">
      <c r="A3632" s="4">
        <v>1218</v>
      </c>
      <c r="B3632" s="4">
        <v>300380</v>
      </c>
      <c r="C3632" s="17">
        <v>44760</v>
      </c>
      <c r="D3632" s="4">
        <v>12</v>
      </c>
      <c r="E3632" t="str">
        <f t="shared" si="56"/>
        <v>1218-300380-44760</v>
      </c>
    </row>
    <row r="3633" spans="1:5" ht="14.25" customHeight="1">
      <c r="A3633" s="4">
        <v>1218</v>
      </c>
      <c r="B3633" s="4">
        <v>300380</v>
      </c>
      <c r="C3633" s="17">
        <v>44767</v>
      </c>
      <c r="D3633" s="4">
        <v>9</v>
      </c>
      <c r="E3633" t="str">
        <f t="shared" si="56"/>
        <v>1218-300380-44767</v>
      </c>
    </row>
    <row r="3634" spans="1:5" ht="14.25" customHeight="1">
      <c r="A3634" s="4">
        <v>1218</v>
      </c>
      <c r="B3634" s="4">
        <v>300380</v>
      </c>
      <c r="C3634" s="17">
        <v>44774</v>
      </c>
      <c r="D3634" s="4">
        <v>11</v>
      </c>
      <c r="E3634" t="str">
        <f t="shared" si="56"/>
        <v>1218-300380-44774</v>
      </c>
    </row>
    <row r="3635" spans="1:5" ht="14.25" customHeight="1">
      <c r="A3635" s="4">
        <v>1218</v>
      </c>
      <c r="B3635" s="4">
        <v>300380</v>
      </c>
      <c r="C3635" s="17">
        <v>44781</v>
      </c>
      <c r="D3635" s="4">
        <v>30</v>
      </c>
      <c r="E3635" t="str">
        <f t="shared" si="56"/>
        <v>1218-300380-44781</v>
      </c>
    </row>
    <row r="3636" spans="1:5" ht="14.25" customHeight="1">
      <c r="A3636" s="4">
        <v>1218</v>
      </c>
      <c r="B3636" s="4">
        <v>300380</v>
      </c>
      <c r="C3636" s="17">
        <v>44788</v>
      </c>
      <c r="D3636" s="4">
        <v>35</v>
      </c>
      <c r="E3636" t="str">
        <f t="shared" si="56"/>
        <v>1218-300380-44788</v>
      </c>
    </row>
    <row r="3637" spans="1:5" ht="14.25" customHeight="1">
      <c r="A3637" s="4">
        <v>1218</v>
      </c>
      <c r="B3637" s="4">
        <v>614993</v>
      </c>
      <c r="C3637" s="17">
        <v>44739</v>
      </c>
      <c r="D3637" s="4">
        <v>31</v>
      </c>
      <c r="E3637" t="str">
        <f t="shared" si="56"/>
        <v>1218-614993-44739</v>
      </c>
    </row>
    <row r="3638" spans="1:5" ht="14.25" customHeight="1">
      <c r="A3638" s="4">
        <v>1218</v>
      </c>
      <c r="B3638" s="4">
        <v>614993</v>
      </c>
      <c r="C3638" s="17">
        <v>44746</v>
      </c>
      <c r="D3638" s="4">
        <v>15</v>
      </c>
      <c r="E3638" t="str">
        <f t="shared" si="56"/>
        <v>1218-614993-44746</v>
      </c>
    </row>
    <row r="3639" spans="1:5" ht="14.25" customHeight="1">
      <c r="A3639" s="4">
        <v>1218</v>
      </c>
      <c r="B3639" s="4">
        <v>614993</v>
      </c>
      <c r="C3639" s="17">
        <v>44753</v>
      </c>
      <c r="D3639" s="4">
        <v>26</v>
      </c>
      <c r="E3639" t="str">
        <f t="shared" si="56"/>
        <v>1218-614993-44753</v>
      </c>
    </row>
    <row r="3640" spans="1:5" ht="14.25" customHeight="1">
      <c r="A3640" s="4">
        <v>1218</v>
      </c>
      <c r="B3640" s="4">
        <v>614993</v>
      </c>
      <c r="C3640" s="17">
        <v>44760</v>
      </c>
      <c r="D3640" s="4">
        <v>27</v>
      </c>
      <c r="E3640" t="str">
        <f t="shared" si="56"/>
        <v>1218-614993-44760</v>
      </c>
    </row>
    <row r="3641" spans="1:5" ht="14.25" customHeight="1">
      <c r="A3641" s="4">
        <v>1218</v>
      </c>
      <c r="B3641" s="4">
        <v>614993</v>
      </c>
      <c r="C3641" s="17">
        <v>44767</v>
      </c>
      <c r="D3641" s="4">
        <v>9</v>
      </c>
      <c r="E3641" t="str">
        <f t="shared" si="56"/>
        <v>1218-614993-44767</v>
      </c>
    </row>
    <row r="3642" spans="1:5" ht="14.25" customHeight="1">
      <c r="A3642" s="4">
        <v>1218</v>
      </c>
      <c r="B3642" s="4">
        <v>614993</v>
      </c>
      <c r="C3642" s="17">
        <v>44774</v>
      </c>
      <c r="D3642" s="4">
        <v>33</v>
      </c>
      <c r="E3642" t="str">
        <f t="shared" si="56"/>
        <v>1218-614993-44774</v>
      </c>
    </row>
    <row r="3643" spans="1:5" ht="14.25" customHeight="1">
      <c r="A3643" s="4">
        <v>1218</v>
      </c>
      <c r="B3643" s="4">
        <v>614993</v>
      </c>
      <c r="C3643" s="17">
        <v>44781</v>
      </c>
      <c r="D3643" s="4">
        <v>27</v>
      </c>
      <c r="E3643" t="str">
        <f t="shared" si="56"/>
        <v>1218-614993-44781</v>
      </c>
    </row>
    <row r="3644" spans="1:5" ht="14.25" customHeight="1">
      <c r="A3644" s="4">
        <v>1218</v>
      </c>
      <c r="B3644" s="4">
        <v>614993</v>
      </c>
      <c r="C3644" s="17">
        <v>44788</v>
      </c>
      <c r="D3644" s="4">
        <v>9</v>
      </c>
      <c r="E3644" t="str">
        <f t="shared" si="56"/>
        <v>1218-614993-44788</v>
      </c>
    </row>
    <row r="3645" spans="1:5" ht="14.25" customHeight="1">
      <c r="A3645" s="4">
        <v>1219</v>
      </c>
      <c r="B3645" s="4">
        <v>23393</v>
      </c>
      <c r="C3645" s="17">
        <v>44739</v>
      </c>
      <c r="D3645" s="4">
        <v>37</v>
      </c>
      <c r="E3645" t="str">
        <f t="shared" si="56"/>
        <v>1219-23393-44739</v>
      </c>
    </row>
    <row r="3646" spans="1:5" ht="14.25" customHeight="1">
      <c r="A3646" s="4">
        <v>1219</v>
      </c>
      <c r="B3646" s="4">
        <v>23393</v>
      </c>
      <c r="C3646" s="17">
        <v>44746</v>
      </c>
      <c r="D3646" s="4">
        <v>42</v>
      </c>
      <c r="E3646" t="str">
        <f t="shared" si="56"/>
        <v>1219-23393-44746</v>
      </c>
    </row>
    <row r="3647" spans="1:5" ht="14.25" customHeight="1">
      <c r="A3647" s="4">
        <v>1219</v>
      </c>
      <c r="B3647" s="4">
        <v>23393</v>
      </c>
      <c r="C3647" s="17">
        <v>44753</v>
      </c>
      <c r="D3647" s="4">
        <v>51</v>
      </c>
      <c r="E3647" t="str">
        <f t="shared" si="56"/>
        <v>1219-23393-44753</v>
      </c>
    </row>
    <row r="3648" spans="1:5" ht="14.25" customHeight="1">
      <c r="A3648" s="4">
        <v>1219</v>
      </c>
      <c r="B3648" s="4">
        <v>23393</v>
      </c>
      <c r="C3648" s="17">
        <v>44760</v>
      </c>
      <c r="D3648" s="4">
        <v>55</v>
      </c>
      <c r="E3648" t="str">
        <f t="shared" si="56"/>
        <v>1219-23393-44760</v>
      </c>
    </row>
    <row r="3649" spans="1:5" ht="14.25" customHeight="1">
      <c r="A3649" s="4">
        <v>1219</v>
      </c>
      <c r="B3649" s="4">
        <v>23393</v>
      </c>
      <c r="C3649" s="17">
        <v>44767</v>
      </c>
      <c r="D3649" s="4">
        <v>48</v>
      </c>
      <c r="E3649" t="str">
        <f t="shared" si="56"/>
        <v>1219-23393-44767</v>
      </c>
    </row>
    <row r="3650" spans="1:5" ht="14.25" customHeight="1">
      <c r="A3650" s="4">
        <v>1219</v>
      </c>
      <c r="B3650" s="4">
        <v>23393</v>
      </c>
      <c r="C3650" s="17">
        <v>44774</v>
      </c>
      <c r="D3650" s="4">
        <v>55</v>
      </c>
      <c r="E3650" t="str">
        <f t="shared" si="56"/>
        <v>1219-23393-44774</v>
      </c>
    </row>
    <row r="3651" spans="1:5" ht="14.25" customHeight="1">
      <c r="A3651" s="4">
        <v>1219</v>
      </c>
      <c r="B3651" s="4">
        <v>23393</v>
      </c>
      <c r="C3651" s="17">
        <v>44781</v>
      </c>
      <c r="D3651" s="4">
        <v>49</v>
      </c>
      <c r="E3651" t="str">
        <f t="shared" ref="E3651:E3714" si="57">A3651&amp;"-"&amp;B3651&amp;"-"&amp;INT(C3651)</f>
        <v>1219-23393-44781</v>
      </c>
    </row>
    <row r="3652" spans="1:5" ht="14.25" customHeight="1">
      <c r="A3652" s="4">
        <v>1219</v>
      </c>
      <c r="B3652" s="4">
        <v>23393</v>
      </c>
      <c r="C3652" s="17">
        <v>44788</v>
      </c>
      <c r="D3652" s="4">
        <v>49</v>
      </c>
      <c r="E3652" t="str">
        <f t="shared" si="57"/>
        <v>1219-23393-44788</v>
      </c>
    </row>
    <row r="3653" spans="1:5" ht="14.25" customHeight="1">
      <c r="A3653" s="4">
        <v>1219</v>
      </c>
      <c r="B3653" s="4">
        <v>26764</v>
      </c>
      <c r="C3653" s="17">
        <v>44739</v>
      </c>
      <c r="D3653" s="4">
        <v>78</v>
      </c>
      <c r="E3653" t="str">
        <f t="shared" si="57"/>
        <v>1219-26764-44739</v>
      </c>
    </row>
    <row r="3654" spans="1:5" ht="14.25" customHeight="1">
      <c r="A3654" s="4">
        <v>1219</v>
      </c>
      <c r="B3654" s="4">
        <v>26764</v>
      </c>
      <c r="C3654" s="17">
        <v>44746</v>
      </c>
      <c r="D3654" s="4">
        <v>87</v>
      </c>
      <c r="E3654" t="str">
        <f t="shared" si="57"/>
        <v>1219-26764-44746</v>
      </c>
    </row>
    <row r="3655" spans="1:5" ht="14.25" customHeight="1">
      <c r="A3655" s="4">
        <v>1219</v>
      </c>
      <c r="B3655" s="4">
        <v>26764</v>
      </c>
      <c r="C3655" s="17">
        <v>44753</v>
      </c>
      <c r="D3655" s="4">
        <v>63</v>
      </c>
      <c r="E3655" t="str">
        <f t="shared" si="57"/>
        <v>1219-26764-44753</v>
      </c>
    </row>
    <row r="3656" spans="1:5" ht="14.25" customHeight="1">
      <c r="A3656" s="4">
        <v>1219</v>
      </c>
      <c r="B3656" s="4">
        <v>26764</v>
      </c>
      <c r="C3656" s="17">
        <v>44760</v>
      </c>
      <c r="D3656" s="4">
        <v>22</v>
      </c>
      <c r="E3656" t="str">
        <f t="shared" si="57"/>
        <v>1219-26764-44760</v>
      </c>
    </row>
    <row r="3657" spans="1:5" ht="14.25" customHeight="1">
      <c r="A3657" s="4">
        <v>1219</v>
      </c>
      <c r="B3657" s="4">
        <v>26764</v>
      </c>
      <c r="C3657" s="17">
        <v>44767</v>
      </c>
      <c r="D3657" s="4">
        <v>81</v>
      </c>
      <c r="E3657" t="str">
        <f t="shared" si="57"/>
        <v>1219-26764-44767</v>
      </c>
    </row>
    <row r="3658" spans="1:5" ht="14.25" customHeight="1">
      <c r="A3658" s="4">
        <v>1219</v>
      </c>
      <c r="B3658" s="4">
        <v>26764</v>
      </c>
      <c r="C3658" s="17">
        <v>44774</v>
      </c>
      <c r="D3658" s="4">
        <v>21</v>
      </c>
      <c r="E3658" t="str">
        <f t="shared" si="57"/>
        <v>1219-26764-44774</v>
      </c>
    </row>
    <row r="3659" spans="1:5" ht="14.25" customHeight="1">
      <c r="A3659" s="4">
        <v>1219</v>
      </c>
      <c r="B3659" s="4">
        <v>26764</v>
      </c>
      <c r="C3659" s="17">
        <v>44781</v>
      </c>
      <c r="D3659" s="4">
        <v>67</v>
      </c>
      <c r="E3659" t="str">
        <f t="shared" si="57"/>
        <v>1219-26764-44781</v>
      </c>
    </row>
    <row r="3660" spans="1:5" ht="14.25" customHeight="1">
      <c r="A3660" s="4">
        <v>1219</v>
      </c>
      <c r="B3660" s="4">
        <v>26764</v>
      </c>
      <c r="C3660" s="17">
        <v>44788</v>
      </c>
      <c r="D3660" s="4">
        <v>64</v>
      </c>
      <c r="E3660" t="str">
        <f t="shared" si="57"/>
        <v>1219-26764-44788</v>
      </c>
    </row>
    <row r="3661" spans="1:5" ht="14.25" customHeight="1">
      <c r="A3661" s="4">
        <v>1219</v>
      </c>
      <c r="B3661" s="4">
        <v>53934</v>
      </c>
      <c r="C3661" s="17">
        <v>44739</v>
      </c>
      <c r="D3661" s="4">
        <v>1004</v>
      </c>
      <c r="E3661" t="str">
        <f t="shared" si="57"/>
        <v>1219-53934-44739</v>
      </c>
    </row>
    <row r="3662" spans="1:5" ht="14.25" customHeight="1">
      <c r="A3662" s="4">
        <v>1219</v>
      </c>
      <c r="B3662" s="4">
        <v>53934</v>
      </c>
      <c r="C3662" s="17">
        <v>44746</v>
      </c>
      <c r="D3662" s="4">
        <v>1000</v>
      </c>
      <c r="E3662" t="str">
        <f t="shared" si="57"/>
        <v>1219-53934-44746</v>
      </c>
    </row>
    <row r="3663" spans="1:5" ht="14.25" customHeight="1">
      <c r="A3663" s="4">
        <v>1219</v>
      </c>
      <c r="B3663" s="4">
        <v>53934</v>
      </c>
      <c r="C3663" s="17">
        <v>44753</v>
      </c>
      <c r="D3663" s="4">
        <v>1000</v>
      </c>
      <c r="E3663" t="str">
        <f t="shared" si="57"/>
        <v>1219-53934-44753</v>
      </c>
    </row>
    <row r="3664" spans="1:5" ht="14.25" customHeight="1">
      <c r="A3664" s="4">
        <v>1219</v>
      </c>
      <c r="B3664" s="4">
        <v>53934</v>
      </c>
      <c r="C3664" s="17">
        <v>44760</v>
      </c>
      <c r="D3664" s="4">
        <v>1363</v>
      </c>
      <c r="E3664" t="str">
        <f t="shared" si="57"/>
        <v>1219-53934-44760</v>
      </c>
    </row>
    <row r="3665" spans="1:5" ht="14.25" customHeight="1">
      <c r="A3665" s="4">
        <v>1219</v>
      </c>
      <c r="B3665" s="4">
        <v>53934</v>
      </c>
      <c r="C3665" s="17">
        <v>44767</v>
      </c>
      <c r="D3665" s="4">
        <v>610</v>
      </c>
      <c r="E3665" t="str">
        <f t="shared" si="57"/>
        <v>1219-53934-44767</v>
      </c>
    </row>
    <row r="3666" spans="1:5" ht="14.25" customHeight="1">
      <c r="A3666" s="4">
        <v>1219</v>
      </c>
      <c r="B3666" s="4">
        <v>53934</v>
      </c>
      <c r="C3666" s="17">
        <v>44774</v>
      </c>
      <c r="D3666" s="4">
        <v>1155</v>
      </c>
      <c r="E3666" t="str">
        <f t="shared" si="57"/>
        <v>1219-53934-44774</v>
      </c>
    </row>
    <row r="3667" spans="1:5" ht="14.25" customHeight="1">
      <c r="A3667" s="4">
        <v>1219</v>
      </c>
      <c r="B3667" s="4">
        <v>53934</v>
      </c>
      <c r="C3667" s="17">
        <v>44781</v>
      </c>
      <c r="D3667" s="4">
        <v>606</v>
      </c>
      <c r="E3667" t="str">
        <f t="shared" si="57"/>
        <v>1219-53934-44781</v>
      </c>
    </row>
    <row r="3668" spans="1:5" ht="14.25" customHeight="1">
      <c r="A3668" s="4">
        <v>1219</v>
      </c>
      <c r="B3668" s="4">
        <v>53934</v>
      </c>
      <c r="C3668" s="17">
        <v>44788</v>
      </c>
      <c r="D3668" s="4">
        <v>1177</v>
      </c>
      <c r="E3668" t="str">
        <f t="shared" si="57"/>
        <v>1219-53934-44788</v>
      </c>
    </row>
    <row r="3669" spans="1:5" ht="14.25" customHeight="1">
      <c r="A3669" s="4">
        <v>1219</v>
      </c>
      <c r="B3669" s="4">
        <v>78699</v>
      </c>
      <c r="C3669" s="17">
        <v>44739</v>
      </c>
      <c r="D3669" s="4">
        <v>6</v>
      </c>
      <c r="E3669" t="str">
        <f t="shared" si="57"/>
        <v>1219-78699-44739</v>
      </c>
    </row>
    <row r="3670" spans="1:5" ht="14.25" customHeight="1">
      <c r="A3670" s="4">
        <v>1219</v>
      </c>
      <c r="B3670" s="4">
        <v>78699</v>
      </c>
      <c r="C3670" s="17">
        <v>44746</v>
      </c>
      <c r="D3670" s="4">
        <v>10</v>
      </c>
      <c r="E3670" t="str">
        <f t="shared" si="57"/>
        <v>1219-78699-44746</v>
      </c>
    </row>
    <row r="3671" spans="1:5" ht="14.25" customHeight="1">
      <c r="A3671" s="4">
        <v>1219</v>
      </c>
      <c r="B3671" s="4">
        <v>78699</v>
      </c>
      <c r="C3671" s="17">
        <v>44753</v>
      </c>
      <c r="D3671" s="4">
        <v>10</v>
      </c>
      <c r="E3671" t="str">
        <f t="shared" si="57"/>
        <v>1219-78699-44753</v>
      </c>
    </row>
    <row r="3672" spans="1:5" ht="14.25" customHeight="1">
      <c r="A3672" s="4">
        <v>1219</v>
      </c>
      <c r="B3672" s="4">
        <v>78699</v>
      </c>
      <c r="C3672" s="17">
        <v>44760</v>
      </c>
      <c r="D3672" s="4">
        <v>11</v>
      </c>
      <c r="E3672" t="str">
        <f t="shared" si="57"/>
        <v>1219-78699-44760</v>
      </c>
    </row>
    <row r="3673" spans="1:5" ht="14.25" customHeight="1">
      <c r="A3673" s="4">
        <v>1219</v>
      </c>
      <c r="B3673" s="4">
        <v>78699</v>
      </c>
      <c r="C3673" s="17">
        <v>44767</v>
      </c>
      <c r="D3673" s="4">
        <v>10</v>
      </c>
      <c r="E3673" t="str">
        <f t="shared" si="57"/>
        <v>1219-78699-44767</v>
      </c>
    </row>
    <row r="3674" spans="1:5" ht="14.25" customHeight="1">
      <c r="A3674" s="4">
        <v>1219</v>
      </c>
      <c r="B3674" s="4">
        <v>78699</v>
      </c>
      <c r="C3674" s="17">
        <v>44774</v>
      </c>
      <c r="D3674" s="4">
        <v>-2</v>
      </c>
      <c r="E3674" t="str">
        <f t="shared" si="57"/>
        <v>1219-78699-44774</v>
      </c>
    </row>
    <row r="3675" spans="1:5" ht="14.25" customHeight="1">
      <c r="A3675" s="4">
        <v>1219</v>
      </c>
      <c r="B3675" s="4">
        <v>78699</v>
      </c>
      <c r="C3675" s="17">
        <v>44781</v>
      </c>
      <c r="D3675" s="4">
        <v>2</v>
      </c>
      <c r="E3675" t="str">
        <f t="shared" si="57"/>
        <v>1219-78699-44781</v>
      </c>
    </row>
    <row r="3676" spans="1:5" ht="14.25" customHeight="1">
      <c r="A3676" s="4">
        <v>1219</v>
      </c>
      <c r="B3676" s="4">
        <v>78699</v>
      </c>
      <c r="C3676" s="17">
        <v>44788</v>
      </c>
      <c r="D3676" s="4">
        <v>8</v>
      </c>
      <c r="E3676" t="str">
        <f t="shared" si="57"/>
        <v>1219-78699-44788</v>
      </c>
    </row>
    <row r="3677" spans="1:5" ht="14.25" customHeight="1">
      <c r="A3677" s="4">
        <v>1219</v>
      </c>
      <c r="B3677" s="4">
        <v>78869</v>
      </c>
      <c r="C3677" s="17">
        <v>44739</v>
      </c>
      <c r="D3677" s="4">
        <v>14</v>
      </c>
      <c r="E3677" t="str">
        <f t="shared" si="57"/>
        <v>1219-78869-44739</v>
      </c>
    </row>
    <row r="3678" spans="1:5" ht="14.25" customHeight="1">
      <c r="A3678" s="4">
        <v>1219</v>
      </c>
      <c r="B3678" s="4">
        <v>78869</v>
      </c>
      <c r="C3678" s="17">
        <v>44746</v>
      </c>
      <c r="D3678" s="4">
        <v>14</v>
      </c>
      <c r="E3678" t="str">
        <f t="shared" si="57"/>
        <v>1219-78869-44746</v>
      </c>
    </row>
    <row r="3679" spans="1:5" ht="14.25" customHeight="1">
      <c r="A3679" s="4">
        <v>1219</v>
      </c>
      <c r="B3679" s="4">
        <v>78869</v>
      </c>
      <c r="C3679" s="17">
        <v>44753</v>
      </c>
      <c r="D3679" s="4">
        <v>39</v>
      </c>
      <c r="E3679" t="str">
        <f t="shared" si="57"/>
        <v>1219-78869-44753</v>
      </c>
    </row>
    <row r="3680" spans="1:5" ht="14.25" customHeight="1">
      <c r="A3680" s="4">
        <v>1219</v>
      </c>
      <c r="B3680" s="4">
        <v>78869</v>
      </c>
      <c r="C3680" s="17">
        <v>44760</v>
      </c>
      <c r="D3680" s="4">
        <v>40</v>
      </c>
      <c r="E3680" t="str">
        <f t="shared" si="57"/>
        <v>1219-78869-44760</v>
      </c>
    </row>
    <row r="3681" spans="1:5" ht="14.25" customHeight="1">
      <c r="A3681" s="4">
        <v>1219</v>
      </c>
      <c r="B3681" s="4">
        <v>78869</v>
      </c>
      <c r="C3681" s="17">
        <v>44767</v>
      </c>
      <c r="D3681" s="4">
        <v>13</v>
      </c>
      <c r="E3681" t="str">
        <f t="shared" si="57"/>
        <v>1219-78869-44767</v>
      </c>
    </row>
    <row r="3682" spans="1:5" ht="14.25" customHeight="1">
      <c r="A3682" s="4">
        <v>1219</v>
      </c>
      <c r="B3682" s="4">
        <v>78869</v>
      </c>
      <c r="C3682" s="17">
        <v>44774</v>
      </c>
      <c r="D3682" s="4">
        <v>50</v>
      </c>
      <c r="E3682" t="str">
        <f t="shared" si="57"/>
        <v>1219-78869-44774</v>
      </c>
    </row>
    <row r="3683" spans="1:5" ht="14.25" customHeight="1">
      <c r="A3683" s="4">
        <v>1219</v>
      </c>
      <c r="B3683" s="4">
        <v>78869</v>
      </c>
      <c r="C3683" s="17">
        <v>44781</v>
      </c>
      <c r="D3683" s="4">
        <v>44</v>
      </c>
      <c r="E3683" t="str">
        <f t="shared" si="57"/>
        <v>1219-78869-44781</v>
      </c>
    </row>
    <row r="3684" spans="1:5" ht="14.25" customHeight="1">
      <c r="A3684" s="4">
        <v>1219</v>
      </c>
      <c r="B3684" s="4">
        <v>78869</v>
      </c>
      <c r="C3684" s="17">
        <v>44788</v>
      </c>
      <c r="D3684" s="4">
        <v>33</v>
      </c>
      <c r="E3684" t="str">
        <f t="shared" si="57"/>
        <v>1219-78869-44788</v>
      </c>
    </row>
    <row r="3685" spans="1:5" ht="14.25" customHeight="1">
      <c r="A3685" s="4">
        <v>1219</v>
      </c>
      <c r="B3685" s="4">
        <v>115600</v>
      </c>
      <c r="C3685" s="17">
        <v>44739</v>
      </c>
      <c r="D3685" s="4">
        <v>3</v>
      </c>
      <c r="E3685" t="str">
        <f t="shared" si="57"/>
        <v>1219-115600-44739</v>
      </c>
    </row>
    <row r="3686" spans="1:5" ht="14.25" customHeight="1">
      <c r="A3686" s="4">
        <v>1219</v>
      </c>
      <c r="B3686" s="4">
        <v>115600</v>
      </c>
      <c r="C3686" s="17">
        <v>44746</v>
      </c>
      <c r="D3686" s="4">
        <v>3</v>
      </c>
      <c r="E3686" t="str">
        <f t="shared" si="57"/>
        <v>1219-115600-44746</v>
      </c>
    </row>
    <row r="3687" spans="1:5" ht="14.25" customHeight="1">
      <c r="A3687" s="4">
        <v>1219</v>
      </c>
      <c r="B3687" s="4">
        <v>115600</v>
      </c>
      <c r="C3687" s="17">
        <v>44753</v>
      </c>
      <c r="D3687" s="4">
        <v>3</v>
      </c>
      <c r="E3687" t="str">
        <f t="shared" si="57"/>
        <v>1219-115600-44753</v>
      </c>
    </row>
    <row r="3688" spans="1:5" ht="14.25" customHeight="1">
      <c r="A3688" s="4">
        <v>1219</v>
      </c>
      <c r="B3688" s="4">
        <v>115600</v>
      </c>
      <c r="C3688" s="17">
        <v>44760</v>
      </c>
      <c r="D3688" s="4">
        <v>3</v>
      </c>
      <c r="E3688" t="str">
        <f t="shared" si="57"/>
        <v>1219-115600-44760</v>
      </c>
    </row>
    <row r="3689" spans="1:5" ht="14.25" customHeight="1">
      <c r="A3689" s="4">
        <v>1219</v>
      </c>
      <c r="B3689" s="4">
        <v>115600</v>
      </c>
      <c r="C3689" s="17">
        <v>44767</v>
      </c>
      <c r="D3689" s="4">
        <v>3</v>
      </c>
      <c r="E3689" t="str">
        <f t="shared" si="57"/>
        <v>1219-115600-44767</v>
      </c>
    </row>
    <row r="3690" spans="1:5" ht="14.25" customHeight="1">
      <c r="A3690" s="4">
        <v>1219</v>
      </c>
      <c r="B3690" s="4">
        <v>115600</v>
      </c>
      <c r="C3690" s="17">
        <v>44774</v>
      </c>
      <c r="D3690" s="4">
        <v>3</v>
      </c>
      <c r="E3690" t="str">
        <f t="shared" si="57"/>
        <v>1219-115600-44774</v>
      </c>
    </row>
    <row r="3691" spans="1:5" ht="14.25" customHeight="1">
      <c r="A3691" s="4">
        <v>1219</v>
      </c>
      <c r="B3691" s="4">
        <v>115600</v>
      </c>
      <c r="C3691" s="17">
        <v>44781</v>
      </c>
      <c r="D3691" s="4">
        <v>3</v>
      </c>
      <c r="E3691" t="str">
        <f t="shared" si="57"/>
        <v>1219-115600-44781</v>
      </c>
    </row>
    <row r="3692" spans="1:5" ht="14.25" customHeight="1">
      <c r="A3692" s="4">
        <v>1219</v>
      </c>
      <c r="B3692" s="4">
        <v>115600</v>
      </c>
      <c r="C3692" s="17">
        <v>44788</v>
      </c>
      <c r="D3692" s="4">
        <v>3</v>
      </c>
      <c r="E3692" t="str">
        <f t="shared" si="57"/>
        <v>1219-115600-44788</v>
      </c>
    </row>
    <row r="3693" spans="1:5" ht="14.25" customHeight="1">
      <c r="A3693" s="4">
        <v>1219</v>
      </c>
      <c r="B3693" s="4">
        <v>129208</v>
      </c>
      <c r="C3693" s="17">
        <v>44739</v>
      </c>
      <c r="D3693" s="4">
        <v>3</v>
      </c>
      <c r="E3693" t="str">
        <f t="shared" si="57"/>
        <v>1219-129208-44739</v>
      </c>
    </row>
    <row r="3694" spans="1:5" ht="14.25" customHeight="1">
      <c r="A3694" s="4">
        <v>1219</v>
      </c>
      <c r="B3694" s="4">
        <v>129208</v>
      </c>
      <c r="C3694" s="17">
        <v>44746</v>
      </c>
      <c r="D3694" s="4">
        <v>3</v>
      </c>
      <c r="E3694" t="str">
        <f t="shared" si="57"/>
        <v>1219-129208-44746</v>
      </c>
    </row>
    <row r="3695" spans="1:5" ht="14.25" customHeight="1">
      <c r="A3695" s="4">
        <v>1219</v>
      </c>
      <c r="B3695" s="4">
        <v>129208</v>
      </c>
      <c r="C3695" s="17">
        <v>44753</v>
      </c>
      <c r="D3695" s="4">
        <v>3</v>
      </c>
      <c r="E3695" t="str">
        <f t="shared" si="57"/>
        <v>1219-129208-44753</v>
      </c>
    </row>
    <row r="3696" spans="1:5" ht="14.25" customHeight="1">
      <c r="A3696" s="4">
        <v>1219</v>
      </c>
      <c r="B3696" s="4">
        <v>129208</v>
      </c>
      <c r="C3696" s="17">
        <v>44760</v>
      </c>
      <c r="D3696" s="4">
        <v>3</v>
      </c>
      <c r="E3696" t="str">
        <f t="shared" si="57"/>
        <v>1219-129208-44760</v>
      </c>
    </row>
    <row r="3697" spans="1:5" ht="14.25" customHeight="1">
      <c r="A3697" s="4">
        <v>1219</v>
      </c>
      <c r="B3697" s="4">
        <v>129208</v>
      </c>
      <c r="C3697" s="17">
        <v>44767</v>
      </c>
      <c r="D3697" s="4">
        <v>3</v>
      </c>
      <c r="E3697" t="str">
        <f t="shared" si="57"/>
        <v>1219-129208-44767</v>
      </c>
    </row>
    <row r="3698" spans="1:5" ht="14.25" customHeight="1">
      <c r="A3698" s="4">
        <v>1219</v>
      </c>
      <c r="B3698" s="4">
        <v>129208</v>
      </c>
      <c r="C3698" s="17">
        <v>44774</v>
      </c>
      <c r="D3698" s="4">
        <v>3</v>
      </c>
      <c r="E3698" t="str">
        <f t="shared" si="57"/>
        <v>1219-129208-44774</v>
      </c>
    </row>
    <row r="3699" spans="1:5" ht="14.25" customHeight="1">
      <c r="A3699" s="4">
        <v>1219</v>
      </c>
      <c r="B3699" s="4">
        <v>129208</v>
      </c>
      <c r="C3699" s="17">
        <v>44781</v>
      </c>
      <c r="D3699" s="4">
        <v>3</v>
      </c>
      <c r="E3699" t="str">
        <f t="shared" si="57"/>
        <v>1219-129208-44781</v>
      </c>
    </row>
    <row r="3700" spans="1:5" ht="14.25" customHeight="1">
      <c r="A3700" s="4">
        <v>1219</v>
      </c>
      <c r="B3700" s="4">
        <v>129208</v>
      </c>
      <c r="C3700" s="17">
        <v>44788</v>
      </c>
      <c r="D3700" s="4">
        <v>3</v>
      </c>
      <c r="E3700" t="str">
        <f t="shared" si="57"/>
        <v>1219-129208-44788</v>
      </c>
    </row>
    <row r="3701" spans="1:5" ht="14.25" customHeight="1">
      <c r="A3701" s="4">
        <v>1219</v>
      </c>
      <c r="B3701" s="4">
        <v>141626</v>
      </c>
      <c r="C3701" s="17">
        <v>44739</v>
      </c>
      <c r="D3701" s="4">
        <v>133</v>
      </c>
      <c r="E3701" t="str">
        <f t="shared" si="57"/>
        <v>1219-141626-44739</v>
      </c>
    </row>
    <row r="3702" spans="1:5" ht="14.25" customHeight="1">
      <c r="A3702" s="4">
        <v>1219</v>
      </c>
      <c r="B3702" s="4">
        <v>141626</v>
      </c>
      <c r="C3702" s="17">
        <v>44746</v>
      </c>
      <c r="D3702" s="4">
        <v>62</v>
      </c>
      <c r="E3702" t="str">
        <f t="shared" si="57"/>
        <v>1219-141626-44746</v>
      </c>
    </row>
    <row r="3703" spans="1:5" ht="14.25" customHeight="1">
      <c r="A3703" s="4">
        <v>1219</v>
      </c>
      <c r="B3703" s="4">
        <v>141626</v>
      </c>
      <c r="C3703" s="17">
        <v>44753</v>
      </c>
      <c r="D3703" s="4">
        <v>91</v>
      </c>
      <c r="E3703" t="str">
        <f t="shared" si="57"/>
        <v>1219-141626-44753</v>
      </c>
    </row>
    <row r="3704" spans="1:5" ht="14.25" customHeight="1">
      <c r="A3704" s="4">
        <v>1219</v>
      </c>
      <c r="B3704" s="4">
        <v>141626</v>
      </c>
      <c r="C3704" s="17">
        <v>44760</v>
      </c>
      <c r="D3704" s="4">
        <v>63</v>
      </c>
      <c r="E3704" t="str">
        <f t="shared" si="57"/>
        <v>1219-141626-44760</v>
      </c>
    </row>
    <row r="3705" spans="1:5" ht="14.25" customHeight="1">
      <c r="A3705" s="4">
        <v>1219</v>
      </c>
      <c r="B3705" s="4">
        <v>141626</v>
      </c>
      <c r="C3705" s="17">
        <v>44767</v>
      </c>
      <c r="D3705" s="4">
        <v>124</v>
      </c>
      <c r="E3705" t="str">
        <f t="shared" si="57"/>
        <v>1219-141626-44767</v>
      </c>
    </row>
    <row r="3706" spans="1:5" ht="14.25" customHeight="1">
      <c r="A3706" s="4">
        <v>1219</v>
      </c>
      <c r="B3706" s="4">
        <v>141626</v>
      </c>
      <c r="C3706" s="17">
        <v>44774</v>
      </c>
      <c r="D3706" s="4">
        <v>63</v>
      </c>
      <c r="E3706" t="str">
        <f t="shared" si="57"/>
        <v>1219-141626-44774</v>
      </c>
    </row>
    <row r="3707" spans="1:5" ht="14.25" customHeight="1">
      <c r="A3707" s="4">
        <v>1219</v>
      </c>
      <c r="B3707" s="4">
        <v>141626</v>
      </c>
      <c r="C3707" s="17">
        <v>44781</v>
      </c>
      <c r="D3707" s="4">
        <v>170</v>
      </c>
      <c r="E3707" t="str">
        <f t="shared" si="57"/>
        <v>1219-141626-44781</v>
      </c>
    </row>
    <row r="3708" spans="1:5" ht="14.25" customHeight="1">
      <c r="A3708" s="4">
        <v>1219</v>
      </c>
      <c r="B3708" s="4">
        <v>141626</v>
      </c>
      <c r="C3708" s="17">
        <v>44788</v>
      </c>
      <c r="D3708" s="4">
        <v>139</v>
      </c>
      <c r="E3708" t="str">
        <f t="shared" si="57"/>
        <v>1219-141626-44788</v>
      </c>
    </row>
    <row r="3709" spans="1:5" ht="14.25" customHeight="1">
      <c r="A3709" s="4">
        <v>1219</v>
      </c>
      <c r="B3709" s="4">
        <v>141791</v>
      </c>
      <c r="C3709" s="17">
        <v>44739</v>
      </c>
      <c r="D3709" s="4">
        <v>9</v>
      </c>
      <c r="E3709" t="str">
        <f t="shared" si="57"/>
        <v>1219-141791-44739</v>
      </c>
    </row>
    <row r="3710" spans="1:5" ht="14.25" customHeight="1">
      <c r="A3710" s="4">
        <v>1219</v>
      </c>
      <c r="B3710" s="4">
        <v>141791</v>
      </c>
      <c r="C3710" s="17">
        <v>44746</v>
      </c>
      <c r="D3710" s="4">
        <v>15</v>
      </c>
      <c r="E3710" t="str">
        <f t="shared" si="57"/>
        <v>1219-141791-44746</v>
      </c>
    </row>
    <row r="3711" spans="1:5" ht="14.25" customHeight="1">
      <c r="A3711" s="4">
        <v>1219</v>
      </c>
      <c r="B3711" s="4">
        <v>141791</v>
      </c>
      <c r="C3711" s="17">
        <v>44753</v>
      </c>
      <c r="D3711" s="4">
        <v>17</v>
      </c>
      <c r="E3711" t="str">
        <f t="shared" si="57"/>
        <v>1219-141791-44753</v>
      </c>
    </row>
    <row r="3712" spans="1:5" ht="14.25" customHeight="1">
      <c r="A3712" s="4">
        <v>1219</v>
      </c>
      <c r="B3712" s="4">
        <v>141791</v>
      </c>
      <c r="C3712" s="17">
        <v>44760</v>
      </c>
      <c r="D3712" s="4">
        <v>6</v>
      </c>
      <c r="E3712" t="str">
        <f t="shared" si="57"/>
        <v>1219-141791-44760</v>
      </c>
    </row>
    <row r="3713" spans="1:5" ht="14.25" customHeight="1">
      <c r="A3713" s="4">
        <v>1219</v>
      </c>
      <c r="B3713" s="4">
        <v>141791</v>
      </c>
      <c r="C3713" s="17">
        <v>44767</v>
      </c>
      <c r="D3713" s="4">
        <v>6</v>
      </c>
      <c r="E3713" t="str">
        <f t="shared" si="57"/>
        <v>1219-141791-44767</v>
      </c>
    </row>
    <row r="3714" spans="1:5" ht="14.25" customHeight="1">
      <c r="A3714" s="4">
        <v>1219</v>
      </c>
      <c r="B3714" s="4">
        <v>141791</v>
      </c>
      <c r="C3714" s="17">
        <v>44774</v>
      </c>
      <c r="D3714" s="4">
        <v>20</v>
      </c>
      <c r="E3714" t="str">
        <f t="shared" si="57"/>
        <v>1219-141791-44774</v>
      </c>
    </row>
    <row r="3715" spans="1:5" ht="14.25" customHeight="1">
      <c r="A3715" s="4">
        <v>1219</v>
      </c>
      <c r="B3715" s="4">
        <v>141791</v>
      </c>
      <c r="C3715" s="17">
        <v>44781</v>
      </c>
      <c r="D3715" s="4">
        <v>20</v>
      </c>
      <c r="E3715" t="str">
        <f t="shared" ref="E3715:E3778" si="58">A3715&amp;"-"&amp;B3715&amp;"-"&amp;INT(C3715)</f>
        <v>1219-141791-44781</v>
      </c>
    </row>
    <row r="3716" spans="1:5" ht="14.25" customHeight="1">
      <c r="A3716" s="4">
        <v>1219</v>
      </c>
      <c r="B3716" s="4">
        <v>141791</v>
      </c>
      <c r="C3716" s="17">
        <v>44788</v>
      </c>
      <c r="D3716" s="4">
        <v>18</v>
      </c>
      <c r="E3716" t="str">
        <f t="shared" si="58"/>
        <v>1219-141791-44788</v>
      </c>
    </row>
    <row r="3717" spans="1:5" ht="14.25" customHeight="1">
      <c r="A3717" s="4">
        <v>1219</v>
      </c>
      <c r="B3717" s="4">
        <v>141846</v>
      </c>
      <c r="C3717" s="17">
        <v>44739</v>
      </c>
      <c r="D3717" s="4">
        <v>3</v>
      </c>
      <c r="E3717" t="str">
        <f t="shared" si="58"/>
        <v>1219-141846-44739</v>
      </c>
    </row>
    <row r="3718" spans="1:5" ht="14.25" customHeight="1">
      <c r="A3718" s="4">
        <v>1219</v>
      </c>
      <c r="B3718" s="4">
        <v>141846</v>
      </c>
      <c r="C3718" s="17">
        <v>44746</v>
      </c>
      <c r="D3718" s="4">
        <v>3</v>
      </c>
      <c r="E3718" t="str">
        <f t="shared" si="58"/>
        <v>1219-141846-44746</v>
      </c>
    </row>
    <row r="3719" spans="1:5" ht="14.25" customHeight="1">
      <c r="A3719" s="4">
        <v>1219</v>
      </c>
      <c r="B3719" s="4">
        <v>141846</v>
      </c>
      <c r="C3719" s="17">
        <v>44753</v>
      </c>
      <c r="D3719" s="4">
        <v>3</v>
      </c>
      <c r="E3719" t="str">
        <f t="shared" si="58"/>
        <v>1219-141846-44753</v>
      </c>
    </row>
    <row r="3720" spans="1:5" ht="14.25" customHeight="1">
      <c r="A3720" s="4">
        <v>1219</v>
      </c>
      <c r="B3720" s="4">
        <v>141846</v>
      </c>
      <c r="C3720" s="17">
        <v>44760</v>
      </c>
      <c r="D3720" s="4">
        <v>3</v>
      </c>
      <c r="E3720" t="str">
        <f t="shared" si="58"/>
        <v>1219-141846-44760</v>
      </c>
    </row>
    <row r="3721" spans="1:5" ht="14.25" customHeight="1">
      <c r="A3721" s="4">
        <v>1219</v>
      </c>
      <c r="B3721" s="4">
        <v>141846</v>
      </c>
      <c r="C3721" s="17">
        <v>44767</v>
      </c>
      <c r="D3721" s="4">
        <v>3</v>
      </c>
      <c r="E3721" t="str">
        <f t="shared" si="58"/>
        <v>1219-141846-44767</v>
      </c>
    </row>
    <row r="3722" spans="1:5" ht="14.25" customHeight="1">
      <c r="A3722" s="4">
        <v>1219</v>
      </c>
      <c r="B3722" s="4">
        <v>141846</v>
      </c>
      <c r="C3722" s="17">
        <v>44774</v>
      </c>
      <c r="D3722" s="4">
        <v>3</v>
      </c>
      <c r="E3722" t="str">
        <f t="shared" si="58"/>
        <v>1219-141846-44774</v>
      </c>
    </row>
    <row r="3723" spans="1:5" ht="14.25" customHeight="1">
      <c r="A3723" s="4">
        <v>1219</v>
      </c>
      <c r="B3723" s="4">
        <v>141846</v>
      </c>
      <c r="C3723" s="17">
        <v>44781</v>
      </c>
      <c r="D3723" s="4">
        <v>3</v>
      </c>
      <c r="E3723" t="str">
        <f t="shared" si="58"/>
        <v>1219-141846-44781</v>
      </c>
    </row>
    <row r="3724" spans="1:5" ht="14.25" customHeight="1">
      <c r="A3724" s="4">
        <v>1219</v>
      </c>
      <c r="B3724" s="4">
        <v>141846</v>
      </c>
      <c r="C3724" s="17">
        <v>44788</v>
      </c>
      <c r="D3724" s="4">
        <v>3</v>
      </c>
      <c r="E3724" t="str">
        <f t="shared" si="58"/>
        <v>1219-141846-44788</v>
      </c>
    </row>
    <row r="3725" spans="1:5" ht="14.25" customHeight="1">
      <c r="A3725" s="4">
        <v>1219</v>
      </c>
      <c r="B3725" s="4">
        <v>141967</v>
      </c>
      <c r="C3725" s="17">
        <v>44739</v>
      </c>
      <c r="D3725" s="4">
        <v>28</v>
      </c>
      <c r="E3725" t="str">
        <f t="shared" si="58"/>
        <v>1219-141967-44739</v>
      </c>
    </row>
    <row r="3726" spans="1:5" ht="14.25" customHeight="1">
      <c r="A3726" s="4">
        <v>1219</v>
      </c>
      <c r="B3726" s="4">
        <v>141967</v>
      </c>
      <c r="C3726" s="17">
        <v>44746</v>
      </c>
      <c r="D3726" s="4">
        <v>6</v>
      </c>
      <c r="E3726" t="str">
        <f t="shared" si="58"/>
        <v>1219-141967-44746</v>
      </c>
    </row>
    <row r="3727" spans="1:5" ht="14.25" customHeight="1">
      <c r="A3727" s="4">
        <v>1219</v>
      </c>
      <c r="B3727" s="4">
        <v>141967</v>
      </c>
      <c r="C3727" s="17">
        <v>44753</v>
      </c>
      <c r="D3727" s="4">
        <v>25</v>
      </c>
      <c r="E3727" t="str">
        <f t="shared" si="58"/>
        <v>1219-141967-44753</v>
      </c>
    </row>
    <row r="3728" spans="1:5" ht="14.25" customHeight="1">
      <c r="A3728" s="4">
        <v>1219</v>
      </c>
      <c r="B3728" s="4">
        <v>141967</v>
      </c>
      <c r="C3728" s="17">
        <v>44760</v>
      </c>
      <c r="D3728" s="4">
        <v>27</v>
      </c>
      <c r="E3728" t="str">
        <f t="shared" si="58"/>
        <v>1219-141967-44760</v>
      </c>
    </row>
    <row r="3729" spans="1:5" ht="14.25" customHeight="1">
      <c r="A3729" s="4">
        <v>1219</v>
      </c>
      <c r="B3729" s="4">
        <v>141967</v>
      </c>
      <c r="C3729" s="17">
        <v>44767</v>
      </c>
      <c r="D3729" s="4">
        <v>23</v>
      </c>
      <c r="E3729" t="str">
        <f t="shared" si="58"/>
        <v>1219-141967-44767</v>
      </c>
    </row>
    <row r="3730" spans="1:5" ht="14.25" customHeight="1">
      <c r="A3730" s="4">
        <v>1219</v>
      </c>
      <c r="B3730" s="4">
        <v>141967</v>
      </c>
      <c r="C3730" s="17">
        <v>44774</v>
      </c>
      <c r="D3730" s="4">
        <v>5</v>
      </c>
      <c r="E3730" t="str">
        <f t="shared" si="58"/>
        <v>1219-141967-44774</v>
      </c>
    </row>
    <row r="3731" spans="1:5" ht="14.25" customHeight="1">
      <c r="A3731" s="4">
        <v>1219</v>
      </c>
      <c r="B3731" s="4">
        <v>141967</v>
      </c>
      <c r="C3731" s="17">
        <v>44781</v>
      </c>
      <c r="D3731" s="4">
        <v>21</v>
      </c>
      <c r="E3731" t="str">
        <f t="shared" si="58"/>
        <v>1219-141967-44781</v>
      </c>
    </row>
    <row r="3732" spans="1:5" ht="14.25" customHeight="1">
      <c r="A3732" s="4">
        <v>1219</v>
      </c>
      <c r="B3732" s="4">
        <v>141967</v>
      </c>
      <c r="C3732" s="17">
        <v>44788</v>
      </c>
      <c r="D3732" s="4">
        <v>1</v>
      </c>
      <c r="E3732" t="str">
        <f t="shared" si="58"/>
        <v>1219-141967-44788</v>
      </c>
    </row>
    <row r="3733" spans="1:5" ht="14.25" customHeight="1">
      <c r="A3733" s="4">
        <v>1219</v>
      </c>
      <c r="B3733" s="4">
        <v>149729</v>
      </c>
      <c r="C3733" s="17">
        <v>44739</v>
      </c>
      <c r="D3733" s="4">
        <v>30</v>
      </c>
      <c r="E3733" t="str">
        <f t="shared" si="58"/>
        <v>1219-149729-44739</v>
      </c>
    </row>
    <row r="3734" spans="1:5" ht="14.25" customHeight="1">
      <c r="A3734" s="4">
        <v>1219</v>
      </c>
      <c r="B3734" s="4">
        <v>149729</v>
      </c>
      <c r="C3734" s="17">
        <v>44746</v>
      </c>
      <c r="D3734" s="4">
        <v>20</v>
      </c>
      <c r="E3734" t="str">
        <f t="shared" si="58"/>
        <v>1219-149729-44746</v>
      </c>
    </row>
    <row r="3735" spans="1:5" ht="14.25" customHeight="1">
      <c r="A3735" s="4">
        <v>1219</v>
      </c>
      <c r="B3735" s="4">
        <v>149729</v>
      </c>
      <c r="C3735" s="17">
        <v>44753</v>
      </c>
      <c r="D3735" s="4">
        <v>24</v>
      </c>
      <c r="E3735" t="str">
        <f t="shared" si="58"/>
        <v>1219-149729-44753</v>
      </c>
    </row>
    <row r="3736" spans="1:5" ht="14.25" customHeight="1">
      <c r="A3736" s="4">
        <v>1219</v>
      </c>
      <c r="B3736" s="4">
        <v>149729</v>
      </c>
      <c r="C3736" s="17">
        <v>44760</v>
      </c>
      <c r="D3736" s="4">
        <v>7</v>
      </c>
      <c r="E3736" t="str">
        <f t="shared" si="58"/>
        <v>1219-149729-44760</v>
      </c>
    </row>
    <row r="3737" spans="1:5" ht="14.25" customHeight="1">
      <c r="A3737" s="4">
        <v>1219</v>
      </c>
      <c r="B3737" s="4">
        <v>149729</v>
      </c>
      <c r="C3737" s="17">
        <v>44767</v>
      </c>
      <c r="D3737" s="4">
        <v>28</v>
      </c>
      <c r="E3737" t="str">
        <f t="shared" si="58"/>
        <v>1219-149729-44767</v>
      </c>
    </row>
    <row r="3738" spans="1:5" ht="14.25" customHeight="1">
      <c r="A3738" s="4">
        <v>1219</v>
      </c>
      <c r="B3738" s="4">
        <v>149729</v>
      </c>
      <c r="C3738" s="17">
        <v>44774</v>
      </c>
      <c r="D3738" s="4">
        <v>26</v>
      </c>
      <c r="E3738" t="str">
        <f t="shared" si="58"/>
        <v>1219-149729-44774</v>
      </c>
    </row>
    <row r="3739" spans="1:5" ht="14.25" customHeight="1">
      <c r="A3739" s="4">
        <v>1219</v>
      </c>
      <c r="B3739" s="4">
        <v>149729</v>
      </c>
      <c r="C3739" s="17">
        <v>44781</v>
      </c>
      <c r="D3739" s="4">
        <v>26</v>
      </c>
      <c r="E3739" t="str">
        <f t="shared" si="58"/>
        <v>1219-149729-44781</v>
      </c>
    </row>
    <row r="3740" spans="1:5" ht="14.25" customHeight="1">
      <c r="A3740" s="4">
        <v>1219</v>
      </c>
      <c r="B3740" s="4">
        <v>149729</v>
      </c>
      <c r="C3740" s="17">
        <v>44788</v>
      </c>
      <c r="D3740" s="4">
        <v>32</v>
      </c>
      <c r="E3740" t="str">
        <f t="shared" si="58"/>
        <v>1219-149729-44788</v>
      </c>
    </row>
    <row r="3741" spans="1:5" ht="14.25" customHeight="1">
      <c r="A3741" s="4">
        <v>1219</v>
      </c>
      <c r="B3741" s="4">
        <v>149779</v>
      </c>
      <c r="C3741" s="17">
        <v>44739</v>
      </c>
      <c r="D3741" s="4">
        <v>3</v>
      </c>
      <c r="E3741" t="str">
        <f t="shared" si="58"/>
        <v>1219-149779-44739</v>
      </c>
    </row>
    <row r="3742" spans="1:5" ht="14.25" customHeight="1">
      <c r="A3742" s="4">
        <v>1219</v>
      </c>
      <c r="B3742" s="4">
        <v>149779</v>
      </c>
      <c r="C3742" s="17">
        <v>44746</v>
      </c>
      <c r="D3742" s="4">
        <v>3</v>
      </c>
      <c r="E3742" t="str">
        <f t="shared" si="58"/>
        <v>1219-149779-44746</v>
      </c>
    </row>
    <row r="3743" spans="1:5" ht="14.25" customHeight="1">
      <c r="A3743" s="4">
        <v>1219</v>
      </c>
      <c r="B3743" s="4">
        <v>149779</v>
      </c>
      <c r="C3743" s="17">
        <v>44753</v>
      </c>
      <c r="D3743" s="4">
        <v>3</v>
      </c>
      <c r="E3743" t="str">
        <f t="shared" si="58"/>
        <v>1219-149779-44753</v>
      </c>
    </row>
    <row r="3744" spans="1:5" ht="14.25" customHeight="1">
      <c r="A3744" s="4">
        <v>1219</v>
      </c>
      <c r="B3744" s="4">
        <v>149779</v>
      </c>
      <c r="C3744" s="17">
        <v>44760</v>
      </c>
      <c r="D3744" s="4">
        <v>3</v>
      </c>
      <c r="E3744" t="str">
        <f t="shared" si="58"/>
        <v>1219-149779-44760</v>
      </c>
    </row>
    <row r="3745" spans="1:5" ht="14.25" customHeight="1">
      <c r="A3745" s="4">
        <v>1219</v>
      </c>
      <c r="B3745" s="4">
        <v>149779</v>
      </c>
      <c r="C3745" s="17">
        <v>44767</v>
      </c>
      <c r="D3745" s="4">
        <v>3</v>
      </c>
      <c r="E3745" t="str">
        <f t="shared" si="58"/>
        <v>1219-149779-44767</v>
      </c>
    </row>
    <row r="3746" spans="1:5" ht="14.25" customHeight="1">
      <c r="A3746" s="4">
        <v>1219</v>
      </c>
      <c r="B3746" s="4">
        <v>149779</v>
      </c>
      <c r="C3746" s="17">
        <v>44774</v>
      </c>
      <c r="D3746" s="4">
        <v>3</v>
      </c>
      <c r="E3746" t="str">
        <f t="shared" si="58"/>
        <v>1219-149779-44774</v>
      </c>
    </row>
    <row r="3747" spans="1:5" ht="14.25" customHeight="1">
      <c r="A3747" s="4">
        <v>1219</v>
      </c>
      <c r="B3747" s="4">
        <v>149779</v>
      </c>
      <c r="C3747" s="17">
        <v>44781</v>
      </c>
      <c r="D3747" s="4">
        <v>3</v>
      </c>
      <c r="E3747" t="str">
        <f t="shared" si="58"/>
        <v>1219-149779-44781</v>
      </c>
    </row>
    <row r="3748" spans="1:5" ht="14.25" customHeight="1">
      <c r="A3748" s="4">
        <v>1219</v>
      </c>
      <c r="B3748" s="4">
        <v>149779</v>
      </c>
      <c r="C3748" s="17">
        <v>44788</v>
      </c>
      <c r="D3748" s="4">
        <v>3</v>
      </c>
      <c r="E3748" t="str">
        <f t="shared" si="58"/>
        <v>1219-149779-44788</v>
      </c>
    </row>
    <row r="3749" spans="1:5" ht="14.25" customHeight="1">
      <c r="A3749" s="4">
        <v>1219</v>
      </c>
      <c r="B3749" s="4">
        <v>189933</v>
      </c>
      <c r="C3749" s="17">
        <v>44739</v>
      </c>
      <c r="D3749" s="4">
        <v>31</v>
      </c>
      <c r="E3749" t="str">
        <f t="shared" si="58"/>
        <v>1219-189933-44739</v>
      </c>
    </row>
    <row r="3750" spans="1:5" ht="14.25" customHeight="1">
      <c r="A3750" s="4">
        <v>1219</v>
      </c>
      <c r="B3750" s="4">
        <v>189933</v>
      </c>
      <c r="C3750" s="17">
        <v>44746</v>
      </c>
      <c r="D3750" s="4">
        <v>32</v>
      </c>
      <c r="E3750" t="str">
        <f t="shared" si="58"/>
        <v>1219-189933-44746</v>
      </c>
    </row>
    <row r="3751" spans="1:5" ht="14.25" customHeight="1">
      <c r="A3751" s="4">
        <v>1219</v>
      </c>
      <c r="B3751" s="4">
        <v>189933</v>
      </c>
      <c r="C3751" s="17">
        <v>44753</v>
      </c>
      <c r="D3751" s="4">
        <v>25</v>
      </c>
      <c r="E3751" t="str">
        <f t="shared" si="58"/>
        <v>1219-189933-44753</v>
      </c>
    </row>
    <row r="3752" spans="1:5" ht="14.25" customHeight="1">
      <c r="A3752" s="4">
        <v>1219</v>
      </c>
      <c r="B3752" s="4">
        <v>189933</v>
      </c>
      <c r="C3752" s="17">
        <v>44760</v>
      </c>
      <c r="D3752" s="4">
        <v>25</v>
      </c>
      <c r="E3752" t="str">
        <f t="shared" si="58"/>
        <v>1219-189933-44760</v>
      </c>
    </row>
    <row r="3753" spans="1:5" ht="14.25" customHeight="1">
      <c r="A3753" s="4">
        <v>1219</v>
      </c>
      <c r="B3753" s="4">
        <v>189933</v>
      </c>
      <c r="C3753" s="17">
        <v>44767</v>
      </c>
      <c r="D3753" s="4">
        <v>25</v>
      </c>
      <c r="E3753" t="str">
        <f t="shared" si="58"/>
        <v>1219-189933-44767</v>
      </c>
    </row>
    <row r="3754" spans="1:5" ht="14.25" customHeight="1">
      <c r="A3754" s="4">
        <v>1219</v>
      </c>
      <c r="B3754" s="4">
        <v>189933</v>
      </c>
      <c r="C3754" s="17">
        <v>44774</v>
      </c>
      <c r="D3754" s="4">
        <v>33</v>
      </c>
      <c r="E3754" t="str">
        <f t="shared" si="58"/>
        <v>1219-189933-44774</v>
      </c>
    </row>
    <row r="3755" spans="1:5" ht="14.25" customHeight="1">
      <c r="A3755" s="4">
        <v>1219</v>
      </c>
      <c r="B3755" s="4">
        <v>189933</v>
      </c>
      <c r="C3755" s="17">
        <v>44781</v>
      </c>
      <c r="D3755" s="4">
        <v>26</v>
      </c>
      <c r="E3755" t="str">
        <f t="shared" si="58"/>
        <v>1219-189933-44781</v>
      </c>
    </row>
    <row r="3756" spans="1:5" ht="14.25" customHeight="1">
      <c r="A3756" s="4">
        <v>1219</v>
      </c>
      <c r="B3756" s="4">
        <v>189933</v>
      </c>
      <c r="C3756" s="17">
        <v>44788</v>
      </c>
      <c r="D3756" s="4">
        <v>17</v>
      </c>
      <c r="E3756" t="str">
        <f t="shared" si="58"/>
        <v>1219-189933-44788</v>
      </c>
    </row>
    <row r="3757" spans="1:5" ht="14.25" customHeight="1">
      <c r="A3757" s="4">
        <v>1219</v>
      </c>
      <c r="B3757" s="4">
        <v>202577</v>
      </c>
      <c r="C3757" s="17">
        <v>44739</v>
      </c>
      <c r="D3757" s="4">
        <v>45</v>
      </c>
      <c r="E3757" t="str">
        <f t="shared" si="58"/>
        <v>1219-202577-44739</v>
      </c>
    </row>
    <row r="3758" spans="1:5" ht="14.25" customHeight="1">
      <c r="A3758" s="4">
        <v>1219</v>
      </c>
      <c r="B3758" s="4">
        <v>202577</v>
      </c>
      <c r="C3758" s="17">
        <v>44746</v>
      </c>
      <c r="D3758" s="4">
        <v>45</v>
      </c>
      <c r="E3758" t="str">
        <f t="shared" si="58"/>
        <v>1219-202577-44746</v>
      </c>
    </row>
    <row r="3759" spans="1:5" ht="14.25" customHeight="1">
      <c r="A3759" s="4">
        <v>1219</v>
      </c>
      <c r="B3759" s="4">
        <v>202577</v>
      </c>
      <c r="C3759" s="17">
        <v>44753</v>
      </c>
      <c r="D3759" s="4">
        <v>16</v>
      </c>
      <c r="E3759" t="str">
        <f t="shared" si="58"/>
        <v>1219-202577-44753</v>
      </c>
    </row>
    <row r="3760" spans="1:5" ht="14.25" customHeight="1">
      <c r="A3760" s="4">
        <v>1219</v>
      </c>
      <c r="B3760" s="4">
        <v>202577</v>
      </c>
      <c r="C3760" s="17">
        <v>44760</v>
      </c>
      <c r="D3760" s="4">
        <v>38</v>
      </c>
      <c r="E3760" t="str">
        <f t="shared" si="58"/>
        <v>1219-202577-44760</v>
      </c>
    </row>
    <row r="3761" spans="1:5" ht="14.25" customHeight="1">
      <c r="A3761" s="4">
        <v>1219</v>
      </c>
      <c r="B3761" s="4">
        <v>202577</v>
      </c>
      <c r="C3761" s="17">
        <v>44767</v>
      </c>
      <c r="D3761" s="4">
        <v>49</v>
      </c>
      <c r="E3761" t="str">
        <f t="shared" si="58"/>
        <v>1219-202577-44767</v>
      </c>
    </row>
    <row r="3762" spans="1:5" ht="14.25" customHeight="1">
      <c r="A3762" s="4">
        <v>1219</v>
      </c>
      <c r="B3762" s="4">
        <v>202577</v>
      </c>
      <c r="C3762" s="17">
        <v>44774</v>
      </c>
      <c r="D3762" s="4">
        <v>13</v>
      </c>
      <c r="E3762" t="str">
        <f t="shared" si="58"/>
        <v>1219-202577-44774</v>
      </c>
    </row>
    <row r="3763" spans="1:5" ht="14.25" customHeight="1">
      <c r="A3763" s="4">
        <v>1219</v>
      </c>
      <c r="B3763" s="4">
        <v>202577</v>
      </c>
      <c r="C3763" s="17">
        <v>44781</v>
      </c>
      <c r="D3763" s="4">
        <v>56</v>
      </c>
      <c r="E3763" t="str">
        <f t="shared" si="58"/>
        <v>1219-202577-44781</v>
      </c>
    </row>
    <row r="3764" spans="1:5" ht="14.25" customHeight="1">
      <c r="A3764" s="4">
        <v>1219</v>
      </c>
      <c r="B3764" s="4">
        <v>202577</v>
      </c>
      <c r="C3764" s="17">
        <v>44788</v>
      </c>
      <c r="D3764" s="4">
        <v>21</v>
      </c>
      <c r="E3764" t="str">
        <f t="shared" si="58"/>
        <v>1219-202577-44788</v>
      </c>
    </row>
    <row r="3765" spans="1:5" ht="14.25" customHeight="1">
      <c r="A3765" s="4">
        <v>1219</v>
      </c>
      <c r="B3765" s="4">
        <v>234334</v>
      </c>
      <c r="C3765" s="17">
        <v>44739</v>
      </c>
      <c r="D3765" s="4">
        <v>14</v>
      </c>
      <c r="E3765" t="str">
        <f t="shared" si="58"/>
        <v>1219-234334-44739</v>
      </c>
    </row>
    <row r="3766" spans="1:5" ht="14.25" customHeight="1">
      <c r="A3766" s="4">
        <v>1219</v>
      </c>
      <c r="B3766" s="4">
        <v>234334</v>
      </c>
      <c r="C3766" s="17">
        <v>44746</v>
      </c>
      <c r="D3766" s="4">
        <v>31</v>
      </c>
      <c r="E3766" t="str">
        <f t="shared" si="58"/>
        <v>1219-234334-44746</v>
      </c>
    </row>
    <row r="3767" spans="1:5" ht="14.25" customHeight="1">
      <c r="A3767" s="4">
        <v>1219</v>
      </c>
      <c r="B3767" s="4">
        <v>234334</v>
      </c>
      <c r="C3767" s="17">
        <v>44753</v>
      </c>
      <c r="D3767" s="4">
        <v>46</v>
      </c>
      <c r="E3767" t="str">
        <f t="shared" si="58"/>
        <v>1219-234334-44753</v>
      </c>
    </row>
    <row r="3768" spans="1:5" ht="14.25" customHeight="1">
      <c r="A3768" s="4">
        <v>1219</v>
      </c>
      <c r="B3768" s="4">
        <v>234334</v>
      </c>
      <c r="C3768" s="17">
        <v>44760</v>
      </c>
      <c r="D3768" s="4">
        <v>33</v>
      </c>
      <c r="E3768" t="str">
        <f t="shared" si="58"/>
        <v>1219-234334-44760</v>
      </c>
    </row>
    <row r="3769" spans="1:5" ht="14.25" customHeight="1">
      <c r="A3769" s="4">
        <v>1219</v>
      </c>
      <c r="B3769" s="4">
        <v>234334</v>
      </c>
      <c r="C3769" s="17">
        <v>44767</v>
      </c>
      <c r="D3769" s="4">
        <v>41</v>
      </c>
      <c r="E3769" t="str">
        <f t="shared" si="58"/>
        <v>1219-234334-44767</v>
      </c>
    </row>
    <row r="3770" spans="1:5" ht="14.25" customHeight="1">
      <c r="A3770" s="4">
        <v>1219</v>
      </c>
      <c r="B3770" s="4">
        <v>234334</v>
      </c>
      <c r="C3770" s="17">
        <v>44774</v>
      </c>
      <c r="D3770" s="4">
        <v>21</v>
      </c>
      <c r="E3770" t="str">
        <f t="shared" si="58"/>
        <v>1219-234334-44774</v>
      </c>
    </row>
    <row r="3771" spans="1:5" ht="14.25" customHeight="1">
      <c r="A3771" s="4">
        <v>1219</v>
      </c>
      <c r="B3771" s="4">
        <v>234334</v>
      </c>
      <c r="C3771" s="17">
        <v>44781</v>
      </c>
      <c r="D3771" s="4">
        <v>36</v>
      </c>
      <c r="E3771" t="str">
        <f t="shared" si="58"/>
        <v>1219-234334-44781</v>
      </c>
    </row>
    <row r="3772" spans="1:5" ht="14.25" customHeight="1">
      <c r="A3772" s="4">
        <v>1219</v>
      </c>
      <c r="B3772" s="4">
        <v>234334</v>
      </c>
      <c r="C3772" s="17">
        <v>44788</v>
      </c>
      <c r="D3772" s="4">
        <v>31</v>
      </c>
      <c r="E3772" t="str">
        <f t="shared" si="58"/>
        <v>1219-234334-44788</v>
      </c>
    </row>
    <row r="3773" spans="1:5" ht="14.25" customHeight="1">
      <c r="A3773" s="4">
        <v>1219</v>
      </c>
      <c r="B3773" s="4">
        <v>249444</v>
      </c>
      <c r="C3773" s="17">
        <v>44739</v>
      </c>
      <c r="D3773" s="4">
        <v>84</v>
      </c>
      <c r="E3773" t="str">
        <f t="shared" si="58"/>
        <v>1219-249444-44739</v>
      </c>
    </row>
    <row r="3774" spans="1:5" ht="14.25" customHeight="1">
      <c r="A3774" s="4">
        <v>1219</v>
      </c>
      <c r="B3774" s="4">
        <v>249444</v>
      </c>
      <c r="C3774" s="17">
        <v>44746</v>
      </c>
      <c r="D3774" s="4">
        <v>92</v>
      </c>
      <c r="E3774" t="str">
        <f t="shared" si="58"/>
        <v>1219-249444-44746</v>
      </c>
    </row>
    <row r="3775" spans="1:5" ht="14.25" customHeight="1">
      <c r="A3775" s="4">
        <v>1219</v>
      </c>
      <c r="B3775" s="4">
        <v>249444</v>
      </c>
      <c r="C3775" s="17">
        <v>44753</v>
      </c>
      <c r="D3775" s="4">
        <v>36</v>
      </c>
      <c r="E3775" t="str">
        <f t="shared" si="58"/>
        <v>1219-249444-44753</v>
      </c>
    </row>
    <row r="3776" spans="1:5" ht="14.25" customHeight="1">
      <c r="A3776" s="4">
        <v>1219</v>
      </c>
      <c r="B3776" s="4">
        <v>249444</v>
      </c>
      <c r="C3776" s="17">
        <v>44760</v>
      </c>
      <c r="D3776" s="4">
        <v>34</v>
      </c>
      <c r="E3776" t="str">
        <f t="shared" si="58"/>
        <v>1219-249444-44760</v>
      </c>
    </row>
    <row r="3777" spans="1:5" ht="14.25" customHeight="1">
      <c r="A3777" s="4">
        <v>1219</v>
      </c>
      <c r="B3777" s="4">
        <v>249444</v>
      </c>
      <c r="C3777" s="17">
        <v>44767</v>
      </c>
      <c r="D3777" s="4">
        <v>38</v>
      </c>
      <c r="E3777" t="str">
        <f t="shared" si="58"/>
        <v>1219-249444-44767</v>
      </c>
    </row>
    <row r="3778" spans="1:5" ht="14.25" customHeight="1">
      <c r="A3778" s="4">
        <v>1219</v>
      </c>
      <c r="B3778" s="4">
        <v>249444</v>
      </c>
      <c r="C3778" s="17">
        <v>44774</v>
      </c>
      <c r="D3778" s="4">
        <v>79</v>
      </c>
      <c r="E3778" t="str">
        <f t="shared" si="58"/>
        <v>1219-249444-44774</v>
      </c>
    </row>
    <row r="3779" spans="1:5" ht="14.25" customHeight="1">
      <c r="A3779" s="4">
        <v>1219</v>
      </c>
      <c r="B3779" s="4">
        <v>249444</v>
      </c>
      <c r="C3779" s="17">
        <v>44781</v>
      </c>
      <c r="D3779" s="4">
        <v>78</v>
      </c>
      <c r="E3779" t="str">
        <f t="shared" ref="E3779:E3842" si="59">A3779&amp;"-"&amp;B3779&amp;"-"&amp;INT(C3779)</f>
        <v>1219-249444-44781</v>
      </c>
    </row>
    <row r="3780" spans="1:5" ht="14.25" customHeight="1">
      <c r="A3780" s="4">
        <v>1219</v>
      </c>
      <c r="B3780" s="4">
        <v>249444</v>
      </c>
      <c r="C3780" s="17">
        <v>44788</v>
      </c>
      <c r="D3780" s="4">
        <v>36</v>
      </c>
      <c r="E3780" t="str">
        <f t="shared" si="59"/>
        <v>1219-249444-44788</v>
      </c>
    </row>
    <row r="3781" spans="1:5" ht="14.25" customHeight="1">
      <c r="A3781" s="4">
        <v>1219</v>
      </c>
      <c r="B3781" s="4">
        <v>249795</v>
      </c>
      <c r="C3781" s="17">
        <v>44739</v>
      </c>
      <c r="D3781" s="4">
        <v>19</v>
      </c>
      <c r="E3781" t="str">
        <f t="shared" si="59"/>
        <v>1219-249795-44739</v>
      </c>
    </row>
    <row r="3782" spans="1:5" ht="14.25" customHeight="1">
      <c r="A3782" s="4">
        <v>1219</v>
      </c>
      <c r="B3782" s="4">
        <v>249795</v>
      </c>
      <c r="C3782" s="17">
        <v>44746</v>
      </c>
      <c r="D3782" s="4">
        <v>24</v>
      </c>
      <c r="E3782" t="str">
        <f t="shared" si="59"/>
        <v>1219-249795-44746</v>
      </c>
    </row>
    <row r="3783" spans="1:5" ht="14.25" customHeight="1">
      <c r="A3783" s="4">
        <v>1219</v>
      </c>
      <c r="B3783" s="4">
        <v>249795</v>
      </c>
      <c r="C3783" s="17">
        <v>44753</v>
      </c>
      <c r="D3783" s="4">
        <v>24</v>
      </c>
      <c r="E3783" t="str">
        <f t="shared" si="59"/>
        <v>1219-249795-44753</v>
      </c>
    </row>
    <row r="3784" spans="1:5" ht="14.25" customHeight="1">
      <c r="A3784" s="4">
        <v>1219</v>
      </c>
      <c r="B3784" s="4">
        <v>249795</v>
      </c>
      <c r="C3784" s="17">
        <v>44760</v>
      </c>
      <c r="D3784" s="4">
        <v>24</v>
      </c>
      <c r="E3784" t="str">
        <f t="shared" si="59"/>
        <v>1219-249795-44760</v>
      </c>
    </row>
    <row r="3785" spans="1:5" ht="14.25" customHeight="1">
      <c r="A3785" s="4">
        <v>1219</v>
      </c>
      <c r="B3785" s="4">
        <v>249795</v>
      </c>
      <c r="C3785" s="17">
        <v>44767</v>
      </c>
      <c r="D3785" s="4">
        <v>18</v>
      </c>
      <c r="E3785" t="str">
        <f t="shared" si="59"/>
        <v>1219-249795-44767</v>
      </c>
    </row>
    <row r="3786" spans="1:5" ht="14.25" customHeight="1">
      <c r="A3786" s="4">
        <v>1219</v>
      </c>
      <c r="B3786" s="4">
        <v>249795</v>
      </c>
      <c r="C3786" s="17">
        <v>44774</v>
      </c>
      <c r="D3786" s="4">
        <v>10</v>
      </c>
      <c r="E3786" t="str">
        <f t="shared" si="59"/>
        <v>1219-249795-44774</v>
      </c>
    </row>
    <row r="3787" spans="1:5" ht="14.25" customHeight="1">
      <c r="A3787" s="4">
        <v>1219</v>
      </c>
      <c r="B3787" s="4">
        <v>249795</v>
      </c>
      <c r="C3787" s="17">
        <v>44781</v>
      </c>
      <c r="D3787" s="4">
        <v>20</v>
      </c>
      <c r="E3787" t="str">
        <f t="shared" si="59"/>
        <v>1219-249795-44781</v>
      </c>
    </row>
    <row r="3788" spans="1:5" ht="14.25" customHeight="1">
      <c r="A3788" s="4">
        <v>1219</v>
      </c>
      <c r="B3788" s="4">
        <v>249795</v>
      </c>
      <c r="C3788" s="17">
        <v>44788</v>
      </c>
      <c r="D3788" s="4">
        <v>7</v>
      </c>
      <c r="E3788" t="str">
        <f t="shared" si="59"/>
        <v>1219-249795-44788</v>
      </c>
    </row>
    <row r="3789" spans="1:5" ht="14.25" customHeight="1">
      <c r="A3789" s="4">
        <v>1219</v>
      </c>
      <c r="B3789" s="4">
        <v>250979</v>
      </c>
      <c r="C3789" s="17">
        <v>44739</v>
      </c>
      <c r="D3789" s="4">
        <v>51</v>
      </c>
      <c r="E3789" t="str">
        <f t="shared" si="59"/>
        <v>1219-250979-44739</v>
      </c>
    </row>
    <row r="3790" spans="1:5" ht="14.25" customHeight="1">
      <c r="A3790" s="4">
        <v>1219</v>
      </c>
      <c r="B3790" s="4">
        <v>250979</v>
      </c>
      <c r="C3790" s="17">
        <v>44746</v>
      </c>
      <c r="D3790" s="4">
        <v>213</v>
      </c>
      <c r="E3790" t="str">
        <f t="shared" si="59"/>
        <v>1219-250979-44746</v>
      </c>
    </row>
    <row r="3791" spans="1:5" ht="14.25" customHeight="1">
      <c r="A3791" s="4">
        <v>1219</v>
      </c>
      <c r="B3791" s="4">
        <v>250979</v>
      </c>
      <c r="C3791" s="17">
        <v>44753</v>
      </c>
      <c r="D3791" s="4">
        <v>157</v>
      </c>
      <c r="E3791" t="str">
        <f t="shared" si="59"/>
        <v>1219-250979-44753</v>
      </c>
    </row>
    <row r="3792" spans="1:5" ht="14.25" customHeight="1">
      <c r="A3792" s="4">
        <v>1219</v>
      </c>
      <c r="B3792" s="4">
        <v>250979</v>
      </c>
      <c r="C3792" s="17">
        <v>44760</v>
      </c>
      <c r="D3792" s="4">
        <v>55</v>
      </c>
      <c r="E3792" t="str">
        <f t="shared" si="59"/>
        <v>1219-250979-44760</v>
      </c>
    </row>
    <row r="3793" spans="1:5" ht="14.25" customHeight="1">
      <c r="A3793" s="4">
        <v>1219</v>
      </c>
      <c r="B3793" s="4">
        <v>250979</v>
      </c>
      <c r="C3793" s="17">
        <v>44767</v>
      </c>
      <c r="D3793" s="4">
        <v>154</v>
      </c>
      <c r="E3793" t="str">
        <f t="shared" si="59"/>
        <v>1219-250979-44767</v>
      </c>
    </row>
    <row r="3794" spans="1:5" ht="14.25" customHeight="1">
      <c r="A3794" s="4">
        <v>1219</v>
      </c>
      <c r="B3794" s="4">
        <v>250979</v>
      </c>
      <c r="C3794" s="17">
        <v>44774</v>
      </c>
      <c r="D3794" s="4">
        <v>235</v>
      </c>
      <c r="E3794" t="str">
        <f t="shared" si="59"/>
        <v>1219-250979-44774</v>
      </c>
    </row>
    <row r="3795" spans="1:5" ht="14.25" customHeight="1">
      <c r="A3795" s="4">
        <v>1219</v>
      </c>
      <c r="B3795" s="4">
        <v>250979</v>
      </c>
      <c r="C3795" s="17">
        <v>44781</v>
      </c>
      <c r="D3795" s="4">
        <v>55</v>
      </c>
      <c r="E3795" t="str">
        <f t="shared" si="59"/>
        <v>1219-250979-44781</v>
      </c>
    </row>
    <row r="3796" spans="1:5" ht="14.25" customHeight="1">
      <c r="A3796" s="4">
        <v>1219</v>
      </c>
      <c r="B3796" s="4">
        <v>250979</v>
      </c>
      <c r="C3796" s="17">
        <v>44788</v>
      </c>
      <c r="D3796" s="4">
        <v>50</v>
      </c>
      <c r="E3796" t="str">
        <f t="shared" si="59"/>
        <v>1219-250979-44788</v>
      </c>
    </row>
    <row r="3797" spans="1:5" ht="14.25" customHeight="1">
      <c r="A3797" s="4">
        <v>1219</v>
      </c>
      <c r="B3797" s="4">
        <v>250981</v>
      </c>
      <c r="C3797" s="17">
        <v>44739</v>
      </c>
      <c r="D3797" s="4">
        <v>21</v>
      </c>
      <c r="E3797" t="str">
        <f t="shared" si="59"/>
        <v>1219-250981-44739</v>
      </c>
    </row>
    <row r="3798" spans="1:5" ht="14.25" customHeight="1">
      <c r="A3798" s="4">
        <v>1219</v>
      </c>
      <c r="B3798" s="4">
        <v>250981</v>
      </c>
      <c r="C3798" s="17">
        <v>44746</v>
      </c>
      <c r="D3798" s="4">
        <v>23</v>
      </c>
      <c r="E3798" t="str">
        <f t="shared" si="59"/>
        <v>1219-250981-44746</v>
      </c>
    </row>
    <row r="3799" spans="1:5" ht="14.25" customHeight="1">
      <c r="A3799" s="4">
        <v>1219</v>
      </c>
      <c r="B3799" s="4">
        <v>250981</v>
      </c>
      <c r="C3799" s="17">
        <v>44753</v>
      </c>
      <c r="D3799" s="4">
        <v>3</v>
      </c>
      <c r="E3799" t="str">
        <f t="shared" si="59"/>
        <v>1219-250981-44753</v>
      </c>
    </row>
    <row r="3800" spans="1:5" ht="14.25" customHeight="1">
      <c r="A3800" s="4">
        <v>1219</v>
      </c>
      <c r="B3800" s="4">
        <v>250981</v>
      </c>
      <c r="C3800" s="17">
        <v>44760</v>
      </c>
      <c r="D3800" s="4">
        <v>5</v>
      </c>
      <c r="E3800" t="str">
        <f t="shared" si="59"/>
        <v>1219-250981-44760</v>
      </c>
    </row>
    <row r="3801" spans="1:5" ht="14.25" customHeight="1">
      <c r="A3801" s="4">
        <v>1219</v>
      </c>
      <c r="B3801" s="4">
        <v>250981</v>
      </c>
      <c r="C3801" s="17">
        <v>44767</v>
      </c>
      <c r="D3801" s="4">
        <v>16</v>
      </c>
      <c r="E3801" t="str">
        <f t="shared" si="59"/>
        <v>1219-250981-44767</v>
      </c>
    </row>
    <row r="3802" spans="1:5" ht="14.25" customHeight="1">
      <c r="A3802" s="4">
        <v>1219</v>
      </c>
      <c r="B3802" s="4">
        <v>250981</v>
      </c>
      <c r="C3802" s="17">
        <v>44774</v>
      </c>
      <c r="D3802" s="4">
        <v>7</v>
      </c>
      <c r="E3802" t="str">
        <f t="shared" si="59"/>
        <v>1219-250981-44774</v>
      </c>
    </row>
    <row r="3803" spans="1:5" ht="14.25" customHeight="1">
      <c r="A3803" s="4">
        <v>1219</v>
      </c>
      <c r="B3803" s="4">
        <v>250981</v>
      </c>
      <c r="C3803" s="17">
        <v>44781</v>
      </c>
      <c r="D3803" s="4">
        <v>9</v>
      </c>
      <c r="E3803" t="str">
        <f t="shared" si="59"/>
        <v>1219-250981-44781</v>
      </c>
    </row>
    <row r="3804" spans="1:5" ht="14.25" customHeight="1">
      <c r="A3804" s="4">
        <v>1219</v>
      </c>
      <c r="B3804" s="4">
        <v>250981</v>
      </c>
      <c r="C3804" s="17">
        <v>44788</v>
      </c>
      <c r="D3804" s="4">
        <v>21</v>
      </c>
      <c r="E3804" t="str">
        <f t="shared" si="59"/>
        <v>1219-250981-44788</v>
      </c>
    </row>
    <row r="3805" spans="1:5" ht="14.25" customHeight="1">
      <c r="A3805" s="4">
        <v>1219</v>
      </c>
      <c r="B3805" s="4">
        <v>262294</v>
      </c>
      <c r="C3805" s="17">
        <v>44739</v>
      </c>
      <c r="D3805" s="4">
        <v>3</v>
      </c>
      <c r="E3805" t="str">
        <f t="shared" si="59"/>
        <v>1219-262294-44739</v>
      </c>
    </row>
    <row r="3806" spans="1:5" ht="14.25" customHeight="1">
      <c r="A3806" s="4">
        <v>1219</v>
      </c>
      <c r="B3806" s="4">
        <v>262294</v>
      </c>
      <c r="C3806" s="17">
        <v>44746</v>
      </c>
      <c r="D3806" s="4">
        <v>3</v>
      </c>
      <c r="E3806" t="str">
        <f t="shared" si="59"/>
        <v>1219-262294-44746</v>
      </c>
    </row>
    <row r="3807" spans="1:5" ht="14.25" customHeight="1">
      <c r="A3807" s="4">
        <v>1219</v>
      </c>
      <c r="B3807" s="4">
        <v>262294</v>
      </c>
      <c r="C3807" s="17">
        <v>44753</v>
      </c>
      <c r="D3807" s="4">
        <v>3</v>
      </c>
      <c r="E3807" t="str">
        <f t="shared" si="59"/>
        <v>1219-262294-44753</v>
      </c>
    </row>
    <row r="3808" spans="1:5" ht="14.25" customHeight="1">
      <c r="A3808" s="4">
        <v>1219</v>
      </c>
      <c r="B3808" s="4">
        <v>262294</v>
      </c>
      <c r="C3808" s="17">
        <v>44760</v>
      </c>
      <c r="D3808" s="4">
        <v>3</v>
      </c>
      <c r="E3808" t="str">
        <f t="shared" si="59"/>
        <v>1219-262294-44760</v>
      </c>
    </row>
    <row r="3809" spans="1:5" ht="14.25" customHeight="1">
      <c r="A3809" s="4">
        <v>1219</v>
      </c>
      <c r="B3809" s="4">
        <v>262294</v>
      </c>
      <c r="C3809" s="17">
        <v>44767</v>
      </c>
      <c r="D3809" s="4">
        <v>3</v>
      </c>
      <c r="E3809" t="str">
        <f t="shared" si="59"/>
        <v>1219-262294-44767</v>
      </c>
    </row>
    <row r="3810" spans="1:5" ht="14.25" customHeight="1">
      <c r="A3810" s="4">
        <v>1219</v>
      </c>
      <c r="B3810" s="4">
        <v>262294</v>
      </c>
      <c r="C3810" s="17">
        <v>44774</v>
      </c>
      <c r="D3810" s="4">
        <v>3</v>
      </c>
      <c r="E3810" t="str">
        <f t="shared" si="59"/>
        <v>1219-262294-44774</v>
      </c>
    </row>
    <row r="3811" spans="1:5" ht="14.25" customHeight="1">
      <c r="A3811" s="4">
        <v>1219</v>
      </c>
      <c r="B3811" s="4">
        <v>262294</v>
      </c>
      <c r="C3811" s="17">
        <v>44781</v>
      </c>
      <c r="D3811" s="4">
        <v>3</v>
      </c>
      <c r="E3811" t="str">
        <f t="shared" si="59"/>
        <v>1219-262294-44781</v>
      </c>
    </row>
    <row r="3812" spans="1:5" ht="14.25" customHeight="1">
      <c r="A3812" s="4">
        <v>1219</v>
      </c>
      <c r="B3812" s="4">
        <v>262294</v>
      </c>
      <c r="C3812" s="17">
        <v>44788</v>
      </c>
      <c r="D3812" s="4">
        <v>3</v>
      </c>
      <c r="E3812" t="str">
        <f t="shared" si="59"/>
        <v>1219-262294-44788</v>
      </c>
    </row>
    <row r="3813" spans="1:5" ht="14.25" customHeight="1">
      <c r="A3813" s="4">
        <v>1219</v>
      </c>
      <c r="B3813" s="4">
        <v>268831</v>
      </c>
      <c r="C3813" s="17">
        <v>44739</v>
      </c>
      <c r="D3813" s="4">
        <v>26</v>
      </c>
      <c r="E3813" t="str">
        <f t="shared" si="59"/>
        <v>1219-268831-44739</v>
      </c>
    </row>
    <row r="3814" spans="1:5" ht="14.25" customHeight="1">
      <c r="A3814" s="4">
        <v>1219</v>
      </c>
      <c r="B3814" s="4">
        <v>268831</v>
      </c>
      <c r="C3814" s="17">
        <v>44746</v>
      </c>
      <c r="D3814" s="4">
        <v>25</v>
      </c>
      <c r="E3814" t="str">
        <f t="shared" si="59"/>
        <v>1219-268831-44746</v>
      </c>
    </row>
    <row r="3815" spans="1:5" ht="14.25" customHeight="1">
      <c r="A3815" s="4">
        <v>1219</v>
      </c>
      <c r="B3815" s="4">
        <v>268831</v>
      </c>
      <c r="C3815" s="17">
        <v>44753</v>
      </c>
      <c r="D3815" s="4">
        <v>23</v>
      </c>
      <c r="E3815" t="str">
        <f t="shared" si="59"/>
        <v>1219-268831-44753</v>
      </c>
    </row>
    <row r="3816" spans="1:5" ht="14.25" customHeight="1">
      <c r="A3816" s="4">
        <v>1219</v>
      </c>
      <c r="B3816" s="4">
        <v>268831</v>
      </c>
      <c r="C3816" s="17">
        <v>44760</v>
      </c>
      <c r="D3816" s="4">
        <v>24</v>
      </c>
      <c r="E3816" t="str">
        <f t="shared" si="59"/>
        <v>1219-268831-44760</v>
      </c>
    </row>
    <row r="3817" spans="1:5" ht="14.25" customHeight="1">
      <c r="A3817" s="4">
        <v>1219</v>
      </c>
      <c r="B3817" s="4">
        <v>268831</v>
      </c>
      <c r="C3817" s="17">
        <v>44767</v>
      </c>
      <c r="D3817" s="4">
        <v>10</v>
      </c>
      <c r="E3817" t="str">
        <f t="shared" si="59"/>
        <v>1219-268831-44767</v>
      </c>
    </row>
    <row r="3818" spans="1:5" ht="14.25" customHeight="1">
      <c r="A3818" s="4">
        <v>1219</v>
      </c>
      <c r="B3818" s="4">
        <v>268831</v>
      </c>
      <c r="C3818" s="17">
        <v>44774</v>
      </c>
      <c r="D3818" s="4">
        <v>22</v>
      </c>
      <c r="E3818" t="str">
        <f t="shared" si="59"/>
        <v>1219-268831-44774</v>
      </c>
    </row>
    <row r="3819" spans="1:5" ht="14.25" customHeight="1">
      <c r="A3819" s="4">
        <v>1219</v>
      </c>
      <c r="B3819" s="4">
        <v>268831</v>
      </c>
      <c r="C3819" s="17">
        <v>44781</v>
      </c>
      <c r="D3819" s="4">
        <v>18</v>
      </c>
      <c r="E3819" t="str">
        <f t="shared" si="59"/>
        <v>1219-268831-44781</v>
      </c>
    </row>
    <row r="3820" spans="1:5" ht="14.25" customHeight="1">
      <c r="A3820" s="4">
        <v>1219</v>
      </c>
      <c r="B3820" s="4">
        <v>268831</v>
      </c>
      <c r="C3820" s="17">
        <v>44788</v>
      </c>
      <c r="D3820" s="4">
        <v>19</v>
      </c>
      <c r="E3820" t="str">
        <f t="shared" si="59"/>
        <v>1219-268831-44788</v>
      </c>
    </row>
    <row r="3821" spans="1:5" ht="14.25" customHeight="1">
      <c r="A3821" s="4">
        <v>1219</v>
      </c>
      <c r="B3821" s="4">
        <v>273701</v>
      </c>
      <c r="C3821" s="17">
        <v>44739</v>
      </c>
      <c r="D3821" s="4">
        <v>20</v>
      </c>
      <c r="E3821" t="str">
        <f t="shared" si="59"/>
        <v>1219-273701-44739</v>
      </c>
    </row>
    <row r="3822" spans="1:5" ht="14.25" customHeight="1">
      <c r="A3822" s="4">
        <v>1219</v>
      </c>
      <c r="B3822" s="4">
        <v>273701</v>
      </c>
      <c r="C3822" s="17">
        <v>44746</v>
      </c>
      <c r="D3822" s="4">
        <v>16</v>
      </c>
      <c r="E3822" t="str">
        <f t="shared" si="59"/>
        <v>1219-273701-44746</v>
      </c>
    </row>
    <row r="3823" spans="1:5" ht="14.25" customHeight="1">
      <c r="A3823" s="4">
        <v>1219</v>
      </c>
      <c r="B3823" s="4">
        <v>273701</v>
      </c>
      <c r="C3823" s="17">
        <v>44753</v>
      </c>
      <c r="D3823" s="4">
        <v>22</v>
      </c>
      <c r="E3823" t="str">
        <f t="shared" si="59"/>
        <v>1219-273701-44753</v>
      </c>
    </row>
    <row r="3824" spans="1:5" ht="14.25" customHeight="1">
      <c r="A3824" s="4">
        <v>1219</v>
      </c>
      <c r="B3824" s="4">
        <v>273701</v>
      </c>
      <c r="C3824" s="17">
        <v>44760</v>
      </c>
      <c r="D3824" s="4">
        <v>14</v>
      </c>
      <c r="E3824" t="str">
        <f t="shared" si="59"/>
        <v>1219-273701-44760</v>
      </c>
    </row>
    <row r="3825" spans="1:5" ht="14.25" customHeight="1">
      <c r="A3825" s="4">
        <v>1219</v>
      </c>
      <c r="B3825" s="4">
        <v>273701</v>
      </c>
      <c r="C3825" s="17">
        <v>44767</v>
      </c>
      <c r="D3825" s="4">
        <v>22</v>
      </c>
      <c r="E3825" t="str">
        <f t="shared" si="59"/>
        <v>1219-273701-44767</v>
      </c>
    </row>
    <row r="3826" spans="1:5" ht="14.25" customHeight="1">
      <c r="A3826" s="4">
        <v>1219</v>
      </c>
      <c r="B3826" s="4">
        <v>273701</v>
      </c>
      <c r="C3826" s="17">
        <v>44774</v>
      </c>
      <c r="D3826" s="4">
        <v>14</v>
      </c>
      <c r="E3826" t="str">
        <f t="shared" si="59"/>
        <v>1219-273701-44774</v>
      </c>
    </row>
    <row r="3827" spans="1:5" ht="14.25" customHeight="1">
      <c r="A3827" s="4">
        <v>1219</v>
      </c>
      <c r="B3827" s="4">
        <v>273701</v>
      </c>
      <c r="C3827" s="17">
        <v>44781</v>
      </c>
      <c r="D3827" s="4">
        <v>12</v>
      </c>
      <c r="E3827" t="str">
        <f t="shared" si="59"/>
        <v>1219-273701-44781</v>
      </c>
    </row>
    <row r="3828" spans="1:5" ht="14.25" customHeight="1">
      <c r="A3828" s="4">
        <v>1219</v>
      </c>
      <c r="B3828" s="4">
        <v>273701</v>
      </c>
      <c r="C3828" s="17">
        <v>44788</v>
      </c>
      <c r="D3828" s="4">
        <v>1</v>
      </c>
      <c r="E3828" t="str">
        <f t="shared" si="59"/>
        <v>1219-273701-44788</v>
      </c>
    </row>
    <row r="3829" spans="1:5" ht="14.25" customHeight="1">
      <c r="A3829" s="4">
        <v>1219</v>
      </c>
      <c r="B3829" s="4">
        <v>291726</v>
      </c>
      <c r="C3829" s="17">
        <v>44739</v>
      </c>
      <c r="D3829" s="4">
        <v>3</v>
      </c>
      <c r="E3829" t="str">
        <f t="shared" si="59"/>
        <v>1219-291726-44739</v>
      </c>
    </row>
    <row r="3830" spans="1:5" ht="14.25" customHeight="1">
      <c r="A3830" s="4">
        <v>1219</v>
      </c>
      <c r="B3830" s="4">
        <v>291726</v>
      </c>
      <c r="C3830" s="17">
        <v>44746</v>
      </c>
      <c r="D3830" s="4">
        <v>3</v>
      </c>
      <c r="E3830" t="str">
        <f t="shared" si="59"/>
        <v>1219-291726-44746</v>
      </c>
    </row>
    <row r="3831" spans="1:5" ht="14.25" customHeight="1">
      <c r="A3831" s="4">
        <v>1219</v>
      </c>
      <c r="B3831" s="4">
        <v>291726</v>
      </c>
      <c r="C3831" s="17">
        <v>44753</v>
      </c>
      <c r="D3831" s="4">
        <v>3</v>
      </c>
      <c r="E3831" t="str">
        <f t="shared" si="59"/>
        <v>1219-291726-44753</v>
      </c>
    </row>
    <row r="3832" spans="1:5" ht="14.25" customHeight="1">
      <c r="A3832" s="4">
        <v>1219</v>
      </c>
      <c r="B3832" s="4">
        <v>291726</v>
      </c>
      <c r="C3832" s="17">
        <v>44760</v>
      </c>
      <c r="D3832" s="4">
        <v>3</v>
      </c>
      <c r="E3832" t="str">
        <f t="shared" si="59"/>
        <v>1219-291726-44760</v>
      </c>
    </row>
    <row r="3833" spans="1:5" ht="14.25" customHeight="1">
      <c r="A3833" s="4">
        <v>1219</v>
      </c>
      <c r="B3833" s="4">
        <v>291726</v>
      </c>
      <c r="C3833" s="17">
        <v>44767</v>
      </c>
      <c r="D3833" s="4">
        <v>3</v>
      </c>
      <c r="E3833" t="str">
        <f t="shared" si="59"/>
        <v>1219-291726-44767</v>
      </c>
    </row>
    <row r="3834" spans="1:5" ht="14.25" customHeight="1">
      <c r="A3834" s="4">
        <v>1219</v>
      </c>
      <c r="B3834" s="4">
        <v>291726</v>
      </c>
      <c r="C3834" s="17">
        <v>44774</v>
      </c>
      <c r="D3834" s="4">
        <v>3</v>
      </c>
      <c r="E3834" t="str">
        <f t="shared" si="59"/>
        <v>1219-291726-44774</v>
      </c>
    </row>
    <row r="3835" spans="1:5" ht="14.25" customHeight="1">
      <c r="A3835" s="4">
        <v>1219</v>
      </c>
      <c r="B3835" s="4">
        <v>291726</v>
      </c>
      <c r="C3835" s="17">
        <v>44781</v>
      </c>
      <c r="D3835" s="4">
        <v>3</v>
      </c>
      <c r="E3835" t="str">
        <f t="shared" si="59"/>
        <v>1219-291726-44781</v>
      </c>
    </row>
    <row r="3836" spans="1:5" ht="14.25" customHeight="1">
      <c r="A3836" s="4">
        <v>1219</v>
      </c>
      <c r="B3836" s="4">
        <v>291726</v>
      </c>
      <c r="C3836" s="17">
        <v>44788</v>
      </c>
      <c r="D3836" s="4">
        <v>3</v>
      </c>
      <c r="E3836" t="str">
        <f t="shared" si="59"/>
        <v>1219-291726-44788</v>
      </c>
    </row>
    <row r="3837" spans="1:5" ht="14.25" customHeight="1">
      <c r="A3837" s="4">
        <v>1219</v>
      </c>
      <c r="B3837" s="4">
        <v>291728</v>
      </c>
      <c r="C3837" s="17">
        <v>44739</v>
      </c>
      <c r="D3837" s="4">
        <v>3</v>
      </c>
      <c r="E3837" t="str">
        <f t="shared" si="59"/>
        <v>1219-291728-44739</v>
      </c>
    </row>
    <row r="3838" spans="1:5" ht="14.25" customHeight="1">
      <c r="A3838" s="4">
        <v>1219</v>
      </c>
      <c r="B3838" s="4">
        <v>291728</v>
      </c>
      <c r="C3838" s="17">
        <v>44746</v>
      </c>
      <c r="D3838" s="4">
        <v>3</v>
      </c>
      <c r="E3838" t="str">
        <f t="shared" si="59"/>
        <v>1219-291728-44746</v>
      </c>
    </row>
    <row r="3839" spans="1:5" ht="14.25" customHeight="1">
      <c r="A3839" s="4">
        <v>1219</v>
      </c>
      <c r="B3839" s="4">
        <v>291728</v>
      </c>
      <c r="C3839" s="17">
        <v>44753</v>
      </c>
      <c r="D3839" s="4">
        <v>3</v>
      </c>
      <c r="E3839" t="str">
        <f t="shared" si="59"/>
        <v>1219-291728-44753</v>
      </c>
    </row>
    <row r="3840" spans="1:5" ht="14.25" customHeight="1">
      <c r="A3840" s="4">
        <v>1219</v>
      </c>
      <c r="B3840" s="4">
        <v>291728</v>
      </c>
      <c r="C3840" s="17">
        <v>44760</v>
      </c>
      <c r="D3840" s="4">
        <v>3</v>
      </c>
      <c r="E3840" t="str">
        <f t="shared" si="59"/>
        <v>1219-291728-44760</v>
      </c>
    </row>
    <row r="3841" spans="1:5" ht="14.25" customHeight="1">
      <c r="A3841" s="4">
        <v>1219</v>
      </c>
      <c r="B3841" s="4">
        <v>291728</v>
      </c>
      <c r="C3841" s="17">
        <v>44767</v>
      </c>
      <c r="D3841" s="4">
        <v>3</v>
      </c>
      <c r="E3841" t="str">
        <f t="shared" si="59"/>
        <v>1219-291728-44767</v>
      </c>
    </row>
    <row r="3842" spans="1:5" ht="14.25" customHeight="1">
      <c r="A3842" s="4">
        <v>1219</v>
      </c>
      <c r="B3842" s="4">
        <v>291728</v>
      </c>
      <c r="C3842" s="17">
        <v>44774</v>
      </c>
      <c r="D3842" s="4">
        <v>3</v>
      </c>
      <c r="E3842" t="str">
        <f t="shared" si="59"/>
        <v>1219-291728-44774</v>
      </c>
    </row>
    <row r="3843" spans="1:5" ht="14.25" customHeight="1">
      <c r="A3843" s="4">
        <v>1219</v>
      </c>
      <c r="B3843" s="4">
        <v>291728</v>
      </c>
      <c r="C3843" s="17">
        <v>44781</v>
      </c>
      <c r="D3843" s="4">
        <v>3</v>
      </c>
      <c r="E3843" t="str">
        <f t="shared" ref="E3843:E3906" si="60">A3843&amp;"-"&amp;B3843&amp;"-"&amp;INT(C3843)</f>
        <v>1219-291728-44781</v>
      </c>
    </row>
    <row r="3844" spans="1:5" ht="14.25" customHeight="1">
      <c r="A3844" s="4">
        <v>1219</v>
      </c>
      <c r="B3844" s="4">
        <v>291728</v>
      </c>
      <c r="C3844" s="17">
        <v>44788</v>
      </c>
      <c r="D3844" s="4">
        <v>3</v>
      </c>
      <c r="E3844" t="str">
        <f t="shared" si="60"/>
        <v>1219-291728-44788</v>
      </c>
    </row>
    <row r="3845" spans="1:5" ht="14.25" customHeight="1">
      <c r="A3845" s="4">
        <v>1219</v>
      </c>
      <c r="B3845" s="4">
        <v>300380</v>
      </c>
      <c r="C3845" s="17">
        <v>32874</v>
      </c>
      <c r="D3845" s="4">
        <v>12</v>
      </c>
      <c r="E3845" t="str">
        <f t="shared" si="60"/>
        <v>1219-300380-32874</v>
      </c>
    </row>
    <row r="3846" spans="1:5" ht="14.25" customHeight="1">
      <c r="A3846" s="4">
        <v>1219</v>
      </c>
      <c r="B3846" s="4">
        <v>300380</v>
      </c>
      <c r="C3846" s="17">
        <v>44739</v>
      </c>
      <c r="D3846" s="4">
        <v>56</v>
      </c>
      <c r="E3846" t="str">
        <f t="shared" si="60"/>
        <v>1219-300380-44739</v>
      </c>
    </row>
    <row r="3847" spans="1:5" ht="14.25" customHeight="1">
      <c r="A3847" s="4">
        <v>1219</v>
      </c>
      <c r="B3847" s="4">
        <v>300380</v>
      </c>
      <c r="C3847" s="17">
        <v>44746</v>
      </c>
      <c r="D3847" s="4">
        <v>61</v>
      </c>
      <c r="E3847" t="str">
        <f t="shared" si="60"/>
        <v>1219-300380-44746</v>
      </c>
    </row>
    <row r="3848" spans="1:5" ht="14.25" customHeight="1">
      <c r="A3848" s="4">
        <v>1219</v>
      </c>
      <c r="B3848" s="4">
        <v>300380</v>
      </c>
      <c r="C3848" s="17">
        <v>44753</v>
      </c>
      <c r="D3848" s="4">
        <v>46</v>
      </c>
      <c r="E3848" t="str">
        <f t="shared" si="60"/>
        <v>1219-300380-44753</v>
      </c>
    </row>
    <row r="3849" spans="1:5" ht="14.25" customHeight="1">
      <c r="A3849" s="4">
        <v>1219</v>
      </c>
      <c r="B3849" s="4">
        <v>300380</v>
      </c>
      <c r="C3849" s="17">
        <v>44760</v>
      </c>
      <c r="D3849" s="4">
        <v>64</v>
      </c>
      <c r="E3849" t="str">
        <f t="shared" si="60"/>
        <v>1219-300380-44760</v>
      </c>
    </row>
    <row r="3850" spans="1:5" ht="14.25" customHeight="1">
      <c r="A3850" s="4">
        <v>1219</v>
      </c>
      <c r="B3850" s="4">
        <v>300380</v>
      </c>
      <c r="C3850" s="17">
        <v>44767</v>
      </c>
      <c r="D3850" s="4">
        <v>68</v>
      </c>
      <c r="E3850" t="str">
        <f t="shared" si="60"/>
        <v>1219-300380-44767</v>
      </c>
    </row>
    <row r="3851" spans="1:5" ht="14.25" customHeight="1">
      <c r="A3851" s="4">
        <v>1219</v>
      </c>
      <c r="B3851" s="4">
        <v>300380</v>
      </c>
      <c r="C3851" s="17">
        <v>44774</v>
      </c>
      <c r="D3851" s="4">
        <v>42</v>
      </c>
      <c r="E3851" t="str">
        <f t="shared" si="60"/>
        <v>1219-300380-44774</v>
      </c>
    </row>
    <row r="3852" spans="1:5" ht="14.25" customHeight="1">
      <c r="A3852" s="4">
        <v>1219</v>
      </c>
      <c r="B3852" s="4">
        <v>300380</v>
      </c>
      <c r="C3852" s="17">
        <v>44781</v>
      </c>
      <c r="D3852" s="4">
        <v>56</v>
      </c>
      <c r="E3852" t="str">
        <f t="shared" si="60"/>
        <v>1219-300380-44781</v>
      </c>
    </row>
    <row r="3853" spans="1:5" ht="14.25" customHeight="1">
      <c r="A3853" s="4">
        <v>1219</v>
      </c>
      <c r="B3853" s="4">
        <v>300380</v>
      </c>
      <c r="C3853" s="17">
        <v>44788</v>
      </c>
      <c r="D3853" s="4">
        <v>10</v>
      </c>
      <c r="E3853" t="str">
        <f t="shared" si="60"/>
        <v>1219-300380-44788</v>
      </c>
    </row>
    <row r="3854" spans="1:5" ht="14.25" customHeight="1">
      <c r="A3854" s="4">
        <v>1219</v>
      </c>
      <c r="B3854" s="4">
        <v>571521</v>
      </c>
      <c r="C3854" s="17">
        <v>44739</v>
      </c>
      <c r="D3854" s="4">
        <v>27</v>
      </c>
      <c r="E3854" t="str">
        <f t="shared" si="60"/>
        <v>1219-571521-44739</v>
      </c>
    </row>
    <row r="3855" spans="1:5" ht="14.25" customHeight="1">
      <c r="A3855" s="4">
        <v>1219</v>
      </c>
      <c r="B3855" s="4">
        <v>571521</v>
      </c>
      <c r="C3855" s="17">
        <v>44746</v>
      </c>
      <c r="D3855" s="4">
        <v>24</v>
      </c>
      <c r="E3855" t="str">
        <f t="shared" si="60"/>
        <v>1219-571521-44746</v>
      </c>
    </row>
    <row r="3856" spans="1:5" ht="14.25" customHeight="1">
      <c r="A3856" s="4">
        <v>1219</v>
      </c>
      <c r="B3856" s="4">
        <v>571521</v>
      </c>
      <c r="C3856" s="17">
        <v>44753</v>
      </c>
      <c r="D3856" s="4">
        <v>8</v>
      </c>
      <c r="E3856" t="str">
        <f t="shared" si="60"/>
        <v>1219-571521-44753</v>
      </c>
    </row>
    <row r="3857" spans="1:5" ht="14.25" customHeight="1">
      <c r="A3857" s="4">
        <v>1219</v>
      </c>
      <c r="B3857" s="4">
        <v>571521</v>
      </c>
      <c r="C3857" s="17">
        <v>44760</v>
      </c>
      <c r="D3857" s="4">
        <v>29</v>
      </c>
      <c r="E3857" t="str">
        <f t="shared" si="60"/>
        <v>1219-571521-44760</v>
      </c>
    </row>
    <row r="3858" spans="1:5" ht="14.25" customHeight="1">
      <c r="A3858" s="4">
        <v>1219</v>
      </c>
      <c r="B3858" s="4">
        <v>571521</v>
      </c>
      <c r="C3858" s="17">
        <v>44767</v>
      </c>
      <c r="D3858" s="4">
        <v>9</v>
      </c>
      <c r="E3858" t="str">
        <f t="shared" si="60"/>
        <v>1219-571521-44767</v>
      </c>
    </row>
    <row r="3859" spans="1:5" ht="14.25" customHeight="1">
      <c r="A3859" s="4">
        <v>1219</v>
      </c>
      <c r="B3859" s="4">
        <v>571521</v>
      </c>
      <c r="C3859" s="17">
        <v>44774</v>
      </c>
      <c r="D3859" s="4">
        <v>22</v>
      </c>
      <c r="E3859" t="str">
        <f t="shared" si="60"/>
        <v>1219-571521-44774</v>
      </c>
    </row>
    <row r="3860" spans="1:5" ht="14.25" customHeight="1">
      <c r="A3860" s="4">
        <v>1219</v>
      </c>
      <c r="B3860" s="4">
        <v>571521</v>
      </c>
      <c r="C3860" s="17">
        <v>44781</v>
      </c>
      <c r="D3860" s="4">
        <v>18</v>
      </c>
      <c r="E3860" t="str">
        <f t="shared" si="60"/>
        <v>1219-571521-44781</v>
      </c>
    </row>
    <row r="3861" spans="1:5" ht="14.25" customHeight="1">
      <c r="A3861" s="4">
        <v>1219</v>
      </c>
      <c r="B3861" s="4">
        <v>571521</v>
      </c>
      <c r="C3861" s="17">
        <v>44788</v>
      </c>
      <c r="D3861" s="4">
        <v>23</v>
      </c>
      <c r="E3861" t="str">
        <f t="shared" si="60"/>
        <v>1219-571521-44788</v>
      </c>
    </row>
    <row r="3862" spans="1:5" ht="14.25" customHeight="1">
      <c r="A3862" s="4">
        <v>1219</v>
      </c>
      <c r="B3862" s="4">
        <v>614993</v>
      </c>
      <c r="C3862" s="17">
        <v>44739</v>
      </c>
      <c r="D3862" s="4">
        <v>16</v>
      </c>
      <c r="E3862" t="str">
        <f t="shared" si="60"/>
        <v>1219-614993-44739</v>
      </c>
    </row>
    <row r="3863" spans="1:5" ht="14.25" customHeight="1">
      <c r="A3863" s="4">
        <v>1219</v>
      </c>
      <c r="B3863" s="4">
        <v>614993</v>
      </c>
      <c r="C3863" s="17">
        <v>44746</v>
      </c>
      <c r="D3863" s="4">
        <v>18</v>
      </c>
      <c r="E3863" t="str">
        <f t="shared" si="60"/>
        <v>1219-614993-44746</v>
      </c>
    </row>
    <row r="3864" spans="1:5" ht="14.25" customHeight="1">
      <c r="A3864" s="4">
        <v>1219</v>
      </c>
      <c r="B3864" s="4">
        <v>614993</v>
      </c>
      <c r="C3864" s="17">
        <v>44753</v>
      </c>
      <c r="D3864" s="4">
        <v>10</v>
      </c>
      <c r="E3864" t="str">
        <f t="shared" si="60"/>
        <v>1219-614993-44753</v>
      </c>
    </row>
    <row r="3865" spans="1:5" ht="14.25" customHeight="1">
      <c r="A3865" s="4">
        <v>1219</v>
      </c>
      <c r="B3865" s="4">
        <v>614993</v>
      </c>
      <c r="C3865" s="17">
        <v>44760</v>
      </c>
      <c r="D3865" s="4">
        <v>16</v>
      </c>
      <c r="E3865" t="str">
        <f t="shared" si="60"/>
        <v>1219-614993-44760</v>
      </c>
    </row>
    <row r="3866" spans="1:5" ht="14.25" customHeight="1">
      <c r="A3866" s="4">
        <v>1219</v>
      </c>
      <c r="B3866" s="4">
        <v>614993</v>
      </c>
      <c r="C3866" s="17">
        <v>44767</v>
      </c>
      <c r="D3866" s="4">
        <v>18</v>
      </c>
      <c r="E3866" t="str">
        <f t="shared" si="60"/>
        <v>1219-614993-44767</v>
      </c>
    </row>
    <row r="3867" spans="1:5" ht="14.25" customHeight="1">
      <c r="A3867" s="4">
        <v>1219</v>
      </c>
      <c r="B3867" s="4">
        <v>614993</v>
      </c>
      <c r="C3867" s="17">
        <v>44774</v>
      </c>
      <c r="D3867" s="4">
        <v>18</v>
      </c>
      <c r="E3867" t="str">
        <f t="shared" si="60"/>
        <v>1219-614993-44774</v>
      </c>
    </row>
    <row r="3868" spans="1:5" ht="14.25" customHeight="1">
      <c r="A3868" s="4">
        <v>1219</v>
      </c>
      <c r="B3868" s="4">
        <v>614993</v>
      </c>
      <c r="C3868" s="17">
        <v>44781</v>
      </c>
      <c r="D3868" s="4">
        <v>16</v>
      </c>
      <c r="E3868" t="str">
        <f t="shared" si="60"/>
        <v>1219-614993-44781</v>
      </c>
    </row>
    <row r="3869" spans="1:5" ht="14.25" customHeight="1">
      <c r="A3869" s="4">
        <v>1219</v>
      </c>
      <c r="B3869" s="4">
        <v>614993</v>
      </c>
      <c r="C3869" s="17">
        <v>44788</v>
      </c>
      <c r="D3869" s="4">
        <v>15</v>
      </c>
      <c r="E3869" t="str">
        <f t="shared" si="60"/>
        <v>1219-614993-44788</v>
      </c>
    </row>
    <row r="3870" spans="1:5" ht="14.25" customHeight="1">
      <c r="A3870" s="4">
        <v>1220</v>
      </c>
      <c r="B3870" s="4">
        <v>23393</v>
      </c>
      <c r="C3870" s="17">
        <v>44739</v>
      </c>
      <c r="D3870" s="4">
        <v>160</v>
      </c>
      <c r="E3870" t="str">
        <f t="shared" si="60"/>
        <v>1220-23393-44739</v>
      </c>
    </row>
    <row r="3871" spans="1:5" ht="14.25" customHeight="1">
      <c r="A3871" s="4">
        <v>1220</v>
      </c>
      <c r="B3871" s="4">
        <v>23393</v>
      </c>
      <c r="C3871" s="17">
        <v>44746</v>
      </c>
      <c r="D3871" s="4">
        <v>324</v>
      </c>
      <c r="E3871" t="str">
        <f t="shared" si="60"/>
        <v>1220-23393-44746</v>
      </c>
    </row>
    <row r="3872" spans="1:5" ht="14.25" customHeight="1">
      <c r="A3872" s="4">
        <v>1220</v>
      </c>
      <c r="B3872" s="4">
        <v>23393</v>
      </c>
      <c r="C3872" s="17">
        <v>44753</v>
      </c>
      <c r="D3872" s="4">
        <v>372</v>
      </c>
      <c r="E3872" t="str">
        <f t="shared" si="60"/>
        <v>1220-23393-44753</v>
      </c>
    </row>
    <row r="3873" spans="1:5" ht="14.25" customHeight="1">
      <c r="A3873" s="4">
        <v>1220</v>
      </c>
      <c r="B3873" s="4">
        <v>23393</v>
      </c>
      <c r="C3873" s="17">
        <v>44760</v>
      </c>
      <c r="D3873" s="4">
        <v>305</v>
      </c>
      <c r="E3873" t="str">
        <f t="shared" si="60"/>
        <v>1220-23393-44760</v>
      </c>
    </row>
    <row r="3874" spans="1:5" ht="14.25" customHeight="1">
      <c r="A3874" s="4">
        <v>1220</v>
      </c>
      <c r="B3874" s="4">
        <v>23393</v>
      </c>
      <c r="C3874" s="17">
        <v>44767</v>
      </c>
      <c r="D3874" s="4">
        <v>300</v>
      </c>
      <c r="E3874" t="str">
        <f t="shared" si="60"/>
        <v>1220-23393-44767</v>
      </c>
    </row>
    <row r="3875" spans="1:5" ht="14.25" customHeight="1">
      <c r="A3875" s="4">
        <v>1220</v>
      </c>
      <c r="B3875" s="4">
        <v>23393</v>
      </c>
      <c r="C3875" s="17">
        <v>44774</v>
      </c>
      <c r="D3875" s="4">
        <v>161</v>
      </c>
      <c r="E3875" t="str">
        <f t="shared" si="60"/>
        <v>1220-23393-44774</v>
      </c>
    </row>
    <row r="3876" spans="1:5" ht="14.25" customHeight="1">
      <c r="A3876" s="4">
        <v>1220</v>
      </c>
      <c r="B3876" s="4">
        <v>23393</v>
      </c>
      <c r="C3876" s="17">
        <v>44781</v>
      </c>
      <c r="D3876" s="4">
        <v>260</v>
      </c>
      <c r="E3876" t="str">
        <f t="shared" si="60"/>
        <v>1220-23393-44781</v>
      </c>
    </row>
    <row r="3877" spans="1:5" ht="14.25" customHeight="1">
      <c r="A3877" s="4">
        <v>1220</v>
      </c>
      <c r="B3877" s="4">
        <v>23393</v>
      </c>
      <c r="C3877" s="17">
        <v>44788</v>
      </c>
      <c r="D3877" s="4">
        <v>341</v>
      </c>
      <c r="E3877" t="str">
        <f t="shared" si="60"/>
        <v>1220-23393-44788</v>
      </c>
    </row>
    <row r="3878" spans="1:5" ht="14.25" customHeight="1">
      <c r="A3878" s="4">
        <v>1220</v>
      </c>
      <c r="B3878" s="4">
        <v>26764</v>
      </c>
      <c r="C3878" s="17">
        <v>44739</v>
      </c>
      <c r="D3878" s="4">
        <v>52</v>
      </c>
      <c r="E3878" t="str">
        <f t="shared" si="60"/>
        <v>1220-26764-44739</v>
      </c>
    </row>
    <row r="3879" spans="1:5" ht="14.25" customHeight="1">
      <c r="A3879" s="4">
        <v>1220</v>
      </c>
      <c r="B3879" s="4">
        <v>26764</v>
      </c>
      <c r="C3879" s="17">
        <v>44746</v>
      </c>
      <c r="D3879" s="4">
        <v>42</v>
      </c>
      <c r="E3879" t="str">
        <f t="shared" si="60"/>
        <v>1220-26764-44746</v>
      </c>
    </row>
    <row r="3880" spans="1:5" ht="14.25" customHeight="1">
      <c r="A3880" s="4">
        <v>1220</v>
      </c>
      <c r="B3880" s="4">
        <v>26764</v>
      </c>
      <c r="C3880" s="17">
        <v>44753</v>
      </c>
      <c r="D3880" s="4">
        <v>53</v>
      </c>
      <c r="E3880" t="str">
        <f t="shared" si="60"/>
        <v>1220-26764-44753</v>
      </c>
    </row>
    <row r="3881" spans="1:5" ht="14.25" customHeight="1">
      <c r="A3881" s="4">
        <v>1220</v>
      </c>
      <c r="B3881" s="4">
        <v>26764</v>
      </c>
      <c r="C3881" s="17">
        <v>44760</v>
      </c>
      <c r="D3881" s="4">
        <v>48</v>
      </c>
      <c r="E3881" t="str">
        <f t="shared" si="60"/>
        <v>1220-26764-44760</v>
      </c>
    </row>
    <row r="3882" spans="1:5" ht="14.25" customHeight="1">
      <c r="A3882" s="4">
        <v>1220</v>
      </c>
      <c r="B3882" s="4">
        <v>26764</v>
      </c>
      <c r="C3882" s="17">
        <v>44767</v>
      </c>
      <c r="D3882" s="4">
        <v>36</v>
      </c>
      <c r="E3882" t="str">
        <f t="shared" si="60"/>
        <v>1220-26764-44767</v>
      </c>
    </row>
    <row r="3883" spans="1:5" ht="14.25" customHeight="1">
      <c r="A3883" s="4">
        <v>1220</v>
      </c>
      <c r="B3883" s="4">
        <v>26764</v>
      </c>
      <c r="C3883" s="17">
        <v>44774</v>
      </c>
      <c r="D3883" s="4">
        <v>54</v>
      </c>
      <c r="E3883" t="str">
        <f t="shared" si="60"/>
        <v>1220-26764-44774</v>
      </c>
    </row>
    <row r="3884" spans="1:5" ht="14.25" customHeight="1">
      <c r="A3884" s="4">
        <v>1220</v>
      </c>
      <c r="B3884" s="4">
        <v>26764</v>
      </c>
      <c r="C3884" s="17">
        <v>44781</v>
      </c>
      <c r="D3884" s="4">
        <v>42</v>
      </c>
      <c r="E3884" t="str">
        <f t="shared" si="60"/>
        <v>1220-26764-44781</v>
      </c>
    </row>
    <row r="3885" spans="1:5" ht="14.25" customHeight="1">
      <c r="A3885" s="4">
        <v>1220</v>
      </c>
      <c r="B3885" s="4">
        <v>26764</v>
      </c>
      <c r="C3885" s="17">
        <v>44788</v>
      </c>
      <c r="D3885" s="4">
        <v>49</v>
      </c>
      <c r="E3885" t="str">
        <f t="shared" si="60"/>
        <v>1220-26764-44788</v>
      </c>
    </row>
    <row r="3886" spans="1:5" ht="14.25" customHeight="1">
      <c r="A3886" s="4">
        <v>1220</v>
      </c>
      <c r="B3886" s="4">
        <v>78699</v>
      </c>
      <c r="C3886" s="17">
        <v>44739</v>
      </c>
      <c r="D3886" s="4">
        <v>-4</v>
      </c>
      <c r="E3886" t="str">
        <f t="shared" si="60"/>
        <v>1220-78699-44739</v>
      </c>
    </row>
    <row r="3887" spans="1:5" ht="14.25" customHeight="1">
      <c r="A3887" s="4">
        <v>1220</v>
      </c>
      <c r="B3887" s="4">
        <v>78699</v>
      </c>
      <c r="C3887" s="17">
        <v>44746</v>
      </c>
      <c r="D3887" s="4">
        <v>14</v>
      </c>
      <c r="E3887" t="str">
        <f t="shared" si="60"/>
        <v>1220-78699-44746</v>
      </c>
    </row>
    <row r="3888" spans="1:5" ht="14.25" customHeight="1">
      <c r="A3888" s="4">
        <v>1220</v>
      </c>
      <c r="B3888" s="4">
        <v>78699</v>
      </c>
      <c r="C3888" s="17">
        <v>44753</v>
      </c>
      <c r="D3888" s="4">
        <v>13</v>
      </c>
      <c r="E3888" t="str">
        <f t="shared" si="60"/>
        <v>1220-78699-44753</v>
      </c>
    </row>
    <row r="3889" spans="1:5" ht="14.25" customHeight="1">
      <c r="A3889" s="4">
        <v>1220</v>
      </c>
      <c r="B3889" s="4">
        <v>78699</v>
      </c>
      <c r="C3889" s="17">
        <v>44760</v>
      </c>
      <c r="D3889" s="4">
        <v>6</v>
      </c>
      <c r="E3889" t="str">
        <f t="shared" si="60"/>
        <v>1220-78699-44760</v>
      </c>
    </row>
    <row r="3890" spans="1:5" ht="14.25" customHeight="1">
      <c r="A3890" s="4">
        <v>1220</v>
      </c>
      <c r="B3890" s="4">
        <v>78699</v>
      </c>
      <c r="C3890" s="17">
        <v>44767</v>
      </c>
      <c r="D3890" s="4">
        <v>13</v>
      </c>
      <c r="E3890" t="str">
        <f t="shared" si="60"/>
        <v>1220-78699-44767</v>
      </c>
    </row>
    <row r="3891" spans="1:5" ht="14.25" customHeight="1">
      <c r="A3891" s="4">
        <v>1220</v>
      </c>
      <c r="B3891" s="4">
        <v>78699</v>
      </c>
      <c r="C3891" s="17">
        <v>44774</v>
      </c>
      <c r="D3891" s="4">
        <v>11</v>
      </c>
      <c r="E3891" t="str">
        <f t="shared" si="60"/>
        <v>1220-78699-44774</v>
      </c>
    </row>
    <row r="3892" spans="1:5" ht="14.25" customHeight="1">
      <c r="A3892" s="4">
        <v>1220</v>
      </c>
      <c r="B3892" s="4">
        <v>78699</v>
      </c>
      <c r="C3892" s="17">
        <v>44781</v>
      </c>
      <c r="D3892" s="4">
        <v>16</v>
      </c>
      <c r="E3892" t="str">
        <f t="shared" si="60"/>
        <v>1220-78699-44781</v>
      </c>
    </row>
    <row r="3893" spans="1:5" ht="14.25" customHeight="1">
      <c r="A3893" s="4">
        <v>1220</v>
      </c>
      <c r="B3893" s="4">
        <v>78699</v>
      </c>
      <c r="C3893" s="17">
        <v>44788</v>
      </c>
      <c r="D3893" s="4">
        <v>9</v>
      </c>
      <c r="E3893" t="str">
        <f t="shared" si="60"/>
        <v>1220-78699-44788</v>
      </c>
    </row>
    <row r="3894" spans="1:5" ht="14.25" customHeight="1">
      <c r="A3894" s="4">
        <v>1220</v>
      </c>
      <c r="B3894" s="4">
        <v>78869</v>
      </c>
      <c r="C3894" s="17">
        <v>44739</v>
      </c>
      <c r="D3894" s="4">
        <v>8</v>
      </c>
      <c r="E3894" t="str">
        <f t="shared" si="60"/>
        <v>1220-78869-44739</v>
      </c>
    </row>
    <row r="3895" spans="1:5" ht="14.25" customHeight="1">
      <c r="A3895" s="4">
        <v>1220</v>
      </c>
      <c r="B3895" s="4">
        <v>78869</v>
      </c>
      <c r="C3895" s="17">
        <v>44746</v>
      </c>
      <c r="D3895" s="4">
        <v>8</v>
      </c>
      <c r="E3895" t="str">
        <f t="shared" si="60"/>
        <v>1220-78869-44746</v>
      </c>
    </row>
    <row r="3896" spans="1:5" ht="14.25" customHeight="1">
      <c r="A3896" s="4">
        <v>1220</v>
      </c>
      <c r="B3896" s="4">
        <v>78869</v>
      </c>
      <c r="C3896" s="17">
        <v>44753</v>
      </c>
      <c r="D3896" s="4">
        <v>8</v>
      </c>
      <c r="E3896" t="str">
        <f t="shared" si="60"/>
        <v>1220-78869-44753</v>
      </c>
    </row>
    <row r="3897" spans="1:5" ht="14.25" customHeight="1">
      <c r="A3897" s="4">
        <v>1220</v>
      </c>
      <c r="B3897" s="4">
        <v>78869</v>
      </c>
      <c r="C3897" s="17">
        <v>44760</v>
      </c>
      <c r="D3897" s="4">
        <v>6</v>
      </c>
      <c r="E3897" t="str">
        <f t="shared" si="60"/>
        <v>1220-78869-44760</v>
      </c>
    </row>
    <row r="3898" spans="1:5" ht="14.25" customHeight="1">
      <c r="A3898" s="4">
        <v>1220</v>
      </c>
      <c r="B3898" s="4">
        <v>78869</v>
      </c>
      <c r="C3898" s="17">
        <v>44767</v>
      </c>
      <c r="D3898" s="4">
        <v>10</v>
      </c>
      <c r="E3898" t="str">
        <f t="shared" si="60"/>
        <v>1220-78869-44767</v>
      </c>
    </row>
    <row r="3899" spans="1:5" ht="14.25" customHeight="1">
      <c r="A3899" s="4">
        <v>1220</v>
      </c>
      <c r="B3899" s="4">
        <v>78869</v>
      </c>
      <c r="C3899" s="17">
        <v>44774</v>
      </c>
      <c r="D3899" s="4">
        <v>8</v>
      </c>
      <c r="E3899" t="str">
        <f t="shared" si="60"/>
        <v>1220-78869-44774</v>
      </c>
    </row>
    <row r="3900" spans="1:5" ht="14.25" customHeight="1">
      <c r="A3900" s="4">
        <v>1220</v>
      </c>
      <c r="B3900" s="4">
        <v>78869</v>
      </c>
      <c r="C3900" s="17">
        <v>44781</v>
      </c>
      <c r="D3900" s="4">
        <v>12</v>
      </c>
      <c r="E3900" t="str">
        <f t="shared" si="60"/>
        <v>1220-78869-44781</v>
      </c>
    </row>
    <row r="3901" spans="1:5" ht="14.25" customHeight="1">
      <c r="A3901" s="4">
        <v>1220</v>
      </c>
      <c r="B3901" s="4">
        <v>78869</v>
      </c>
      <c r="C3901" s="17">
        <v>44788</v>
      </c>
      <c r="D3901" s="4">
        <v>-3</v>
      </c>
      <c r="E3901" t="str">
        <f t="shared" si="60"/>
        <v>1220-78869-44788</v>
      </c>
    </row>
    <row r="3902" spans="1:5" ht="14.25" customHeight="1">
      <c r="A3902" s="4">
        <v>1220</v>
      </c>
      <c r="B3902" s="4">
        <v>115600</v>
      </c>
      <c r="C3902" s="17">
        <v>44739</v>
      </c>
      <c r="D3902" s="4">
        <v>33</v>
      </c>
      <c r="E3902" t="str">
        <f t="shared" si="60"/>
        <v>1220-115600-44739</v>
      </c>
    </row>
    <row r="3903" spans="1:5" ht="14.25" customHeight="1">
      <c r="A3903" s="4">
        <v>1220</v>
      </c>
      <c r="B3903" s="4">
        <v>115600</v>
      </c>
      <c r="C3903" s="17">
        <v>44746</v>
      </c>
      <c r="D3903" s="4">
        <v>42</v>
      </c>
      <c r="E3903" t="str">
        <f t="shared" si="60"/>
        <v>1220-115600-44746</v>
      </c>
    </row>
    <row r="3904" spans="1:5" ht="14.25" customHeight="1">
      <c r="A3904" s="4">
        <v>1220</v>
      </c>
      <c r="B3904" s="4">
        <v>115600</v>
      </c>
      <c r="C3904" s="17">
        <v>44753</v>
      </c>
      <c r="D3904" s="4">
        <v>20</v>
      </c>
      <c r="E3904" t="str">
        <f t="shared" si="60"/>
        <v>1220-115600-44753</v>
      </c>
    </row>
    <row r="3905" spans="1:5" ht="14.25" customHeight="1">
      <c r="A3905" s="4">
        <v>1220</v>
      </c>
      <c r="B3905" s="4">
        <v>115600</v>
      </c>
      <c r="C3905" s="17">
        <v>44760</v>
      </c>
      <c r="D3905" s="4">
        <v>52</v>
      </c>
      <c r="E3905" t="str">
        <f t="shared" si="60"/>
        <v>1220-115600-44760</v>
      </c>
    </row>
    <row r="3906" spans="1:5" ht="14.25" customHeight="1">
      <c r="A3906" s="4">
        <v>1220</v>
      </c>
      <c r="B3906" s="4">
        <v>115600</v>
      </c>
      <c r="C3906" s="17">
        <v>44767</v>
      </c>
      <c r="D3906" s="4">
        <v>19</v>
      </c>
      <c r="E3906" t="str">
        <f t="shared" si="60"/>
        <v>1220-115600-44767</v>
      </c>
    </row>
    <row r="3907" spans="1:5" ht="14.25" customHeight="1">
      <c r="A3907" s="4">
        <v>1220</v>
      </c>
      <c r="B3907" s="4">
        <v>115600</v>
      </c>
      <c r="C3907" s="17">
        <v>44774</v>
      </c>
      <c r="D3907" s="4">
        <v>43</v>
      </c>
      <c r="E3907" t="str">
        <f t="shared" ref="E3907:E3970" si="61">A3907&amp;"-"&amp;B3907&amp;"-"&amp;INT(C3907)</f>
        <v>1220-115600-44774</v>
      </c>
    </row>
    <row r="3908" spans="1:5" ht="14.25" customHeight="1">
      <c r="A3908" s="4">
        <v>1220</v>
      </c>
      <c r="B3908" s="4">
        <v>115600</v>
      </c>
      <c r="C3908" s="17">
        <v>44781</v>
      </c>
      <c r="D3908" s="4">
        <v>53</v>
      </c>
      <c r="E3908" t="str">
        <f t="shared" si="61"/>
        <v>1220-115600-44781</v>
      </c>
    </row>
    <row r="3909" spans="1:5" ht="14.25" customHeight="1">
      <c r="A3909" s="4">
        <v>1220</v>
      </c>
      <c r="B3909" s="4">
        <v>115600</v>
      </c>
      <c r="C3909" s="17">
        <v>44788</v>
      </c>
      <c r="D3909" s="4">
        <v>17</v>
      </c>
      <c r="E3909" t="str">
        <f t="shared" si="61"/>
        <v>1220-115600-44788</v>
      </c>
    </row>
    <row r="3910" spans="1:5" ht="14.25" customHeight="1">
      <c r="A3910" s="4">
        <v>1220</v>
      </c>
      <c r="B3910" s="4">
        <v>129208</v>
      </c>
      <c r="C3910" s="17">
        <v>32874</v>
      </c>
      <c r="D3910" s="4">
        <v>32</v>
      </c>
      <c r="E3910" t="str">
        <f t="shared" si="61"/>
        <v>1220-129208-32874</v>
      </c>
    </row>
    <row r="3911" spans="1:5" ht="14.25" customHeight="1">
      <c r="A3911" s="4">
        <v>1220</v>
      </c>
      <c r="B3911" s="4">
        <v>129208</v>
      </c>
      <c r="C3911" s="17">
        <v>44739</v>
      </c>
      <c r="D3911" s="4">
        <v>45</v>
      </c>
      <c r="E3911" t="str">
        <f t="shared" si="61"/>
        <v>1220-129208-44739</v>
      </c>
    </row>
    <row r="3912" spans="1:5" ht="14.25" customHeight="1">
      <c r="A3912" s="4">
        <v>1220</v>
      </c>
      <c r="B3912" s="4">
        <v>129208</v>
      </c>
      <c r="C3912" s="17">
        <v>44746</v>
      </c>
      <c r="D3912" s="4">
        <v>45</v>
      </c>
      <c r="E3912" t="str">
        <f t="shared" si="61"/>
        <v>1220-129208-44746</v>
      </c>
    </row>
    <row r="3913" spans="1:5" ht="14.25" customHeight="1">
      <c r="A3913" s="4">
        <v>1220</v>
      </c>
      <c r="B3913" s="4">
        <v>129208</v>
      </c>
      <c r="C3913" s="17">
        <v>44753</v>
      </c>
      <c r="D3913" s="4">
        <v>52</v>
      </c>
      <c r="E3913" t="str">
        <f t="shared" si="61"/>
        <v>1220-129208-44753</v>
      </c>
    </row>
    <row r="3914" spans="1:5" ht="14.25" customHeight="1">
      <c r="A3914" s="4">
        <v>1220</v>
      </c>
      <c r="B3914" s="4">
        <v>129208</v>
      </c>
      <c r="C3914" s="17">
        <v>44760</v>
      </c>
      <c r="D3914" s="4">
        <v>24</v>
      </c>
      <c r="E3914" t="str">
        <f t="shared" si="61"/>
        <v>1220-129208-44760</v>
      </c>
    </row>
    <row r="3915" spans="1:5" ht="14.25" customHeight="1">
      <c r="A3915" s="4">
        <v>1220</v>
      </c>
      <c r="B3915" s="4">
        <v>129208</v>
      </c>
      <c r="C3915" s="17">
        <v>44767</v>
      </c>
      <c r="D3915" s="4">
        <v>59</v>
      </c>
      <c r="E3915" t="str">
        <f t="shared" si="61"/>
        <v>1220-129208-44767</v>
      </c>
    </row>
    <row r="3916" spans="1:5" ht="14.25" customHeight="1">
      <c r="A3916" s="4">
        <v>1220</v>
      </c>
      <c r="B3916" s="4">
        <v>129208</v>
      </c>
      <c r="C3916" s="17">
        <v>44774</v>
      </c>
      <c r="D3916" s="4">
        <v>55</v>
      </c>
      <c r="E3916" t="str">
        <f t="shared" si="61"/>
        <v>1220-129208-44774</v>
      </c>
    </row>
    <row r="3917" spans="1:5" ht="14.25" customHeight="1">
      <c r="A3917" s="4">
        <v>1220</v>
      </c>
      <c r="B3917" s="4">
        <v>129208</v>
      </c>
      <c r="C3917" s="17">
        <v>44781</v>
      </c>
      <c r="D3917" s="4">
        <v>25</v>
      </c>
      <c r="E3917" t="str">
        <f t="shared" si="61"/>
        <v>1220-129208-44781</v>
      </c>
    </row>
    <row r="3918" spans="1:5" ht="14.25" customHeight="1">
      <c r="A3918" s="4">
        <v>1220</v>
      </c>
      <c r="B3918" s="4">
        <v>129208</v>
      </c>
      <c r="C3918" s="17">
        <v>44788</v>
      </c>
      <c r="D3918" s="4">
        <v>49</v>
      </c>
      <c r="E3918" t="str">
        <f t="shared" si="61"/>
        <v>1220-129208-44788</v>
      </c>
    </row>
    <row r="3919" spans="1:5" ht="14.25" customHeight="1">
      <c r="A3919" s="4">
        <v>1220</v>
      </c>
      <c r="B3919" s="4">
        <v>141622</v>
      </c>
      <c r="C3919" s="17">
        <v>44739</v>
      </c>
      <c r="D3919" s="4">
        <v>74</v>
      </c>
      <c r="E3919" t="str">
        <f t="shared" si="61"/>
        <v>1220-141622-44739</v>
      </c>
    </row>
    <row r="3920" spans="1:5" ht="14.25" customHeight="1">
      <c r="A3920" s="4">
        <v>1220</v>
      </c>
      <c r="B3920" s="4">
        <v>141622</v>
      </c>
      <c r="C3920" s="17">
        <v>44746</v>
      </c>
      <c r="D3920" s="4">
        <v>74</v>
      </c>
      <c r="E3920" t="str">
        <f t="shared" si="61"/>
        <v>1220-141622-44746</v>
      </c>
    </row>
    <row r="3921" spans="1:5" ht="14.25" customHeight="1">
      <c r="A3921" s="4">
        <v>1220</v>
      </c>
      <c r="B3921" s="4">
        <v>141622</v>
      </c>
      <c r="C3921" s="17">
        <v>44753</v>
      </c>
      <c r="D3921" s="4">
        <v>74</v>
      </c>
      <c r="E3921" t="str">
        <f t="shared" si="61"/>
        <v>1220-141622-44753</v>
      </c>
    </row>
    <row r="3922" spans="1:5" ht="14.25" customHeight="1">
      <c r="A3922" s="4">
        <v>1220</v>
      </c>
      <c r="B3922" s="4">
        <v>141622</v>
      </c>
      <c r="C3922" s="17">
        <v>44760</v>
      </c>
      <c r="D3922" s="4">
        <v>74</v>
      </c>
      <c r="E3922" t="str">
        <f t="shared" si="61"/>
        <v>1220-141622-44760</v>
      </c>
    </row>
    <row r="3923" spans="1:5" ht="14.25" customHeight="1">
      <c r="A3923" s="4">
        <v>1220</v>
      </c>
      <c r="B3923" s="4">
        <v>141622</v>
      </c>
      <c r="C3923" s="17">
        <v>44767</v>
      </c>
      <c r="D3923" s="4">
        <v>74</v>
      </c>
      <c r="E3923" t="str">
        <f t="shared" si="61"/>
        <v>1220-141622-44767</v>
      </c>
    </row>
    <row r="3924" spans="1:5" ht="14.25" customHeight="1">
      <c r="A3924" s="4">
        <v>1220</v>
      </c>
      <c r="B3924" s="4">
        <v>141622</v>
      </c>
      <c r="C3924" s="17">
        <v>44774</v>
      </c>
      <c r="D3924" s="4">
        <v>74</v>
      </c>
      <c r="E3924" t="str">
        <f t="shared" si="61"/>
        <v>1220-141622-44774</v>
      </c>
    </row>
    <row r="3925" spans="1:5" ht="14.25" customHeight="1">
      <c r="A3925" s="4">
        <v>1220</v>
      </c>
      <c r="B3925" s="4">
        <v>141622</v>
      </c>
      <c r="C3925" s="17">
        <v>44781</v>
      </c>
      <c r="D3925" s="4">
        <v>74</v>
      </c>
      <c r="E3925" t="str">
        <f t="shared" si="61"/>
        <v>1220-141622-44781</v>
      </c>
    </row>
    <row r="3926" spans="1:5" ht="14.25" customHeight="1">
      <c r="A3926" s="4">
        <v>1220</v>
      </c>
      <c r="B3926" s="4">
        <v>141622</v>
      </c>
      <c r="C3926" s="17">
        <v>44788</v>
      </c>
      <c r="D3926" s="4">
        <v>74</v>
      </c>
      <c r="E3926" t="str">
        <f t="shared" si="61"/>
        <v>1220-141622-44788</v>
      </c>
    </row>
    <row r="3927" spans="1:5" ht="14.25" customHeight="1">
      <c r="A3927" s="4">
        <v>1220</v>
      </c>
      <c r="B3927" s="4">
        <v>141626</v>
      </c>
      <c r="C3927" s="17">
        <v>44739</v>
      </c>
      <c r="D3927" s="4">
        <v>1153</v>
      </c>
      <c r="E3927" t="str">
        <f t="shared" si="61"/>
        <v>1220-141626-44739</v>
      </c>
    </row>
    <row r="3928" spans="1:5" ht="14.25" customHeight="1">
      <c r="A3928" s="4">
        <v>1220</v>
      </c>
      <c r="B3928" s="4">
        <v>141626</v>
      </c>
      <c r="C3928" s="17">
        <v>44746</v>
      </c>
      <c r="D3928" s="4">
        <v>1043</v>
      </c>
      <c r="E3928" t="str">
        <f t="shared" si="61"/>
        <v>1220-141626-44746</v>
      </c>
    </row>
    <row r="3929" spans="1:5" ht="14.25" customHeight="1">
      <c r="A3929" s="4">
        <v>1220</v>
      </c>
      <c r="B3929" s="4">
        <v>141626</v>
      </c>
      <c r="C3929" s="17">
        <v>44753</v>
      </c>
      <c r="D3929" s="4">
        <v>215</v>
      </c>
      <c r="E3929" t="str">
        <f t="shared" si="61"/>
        <v>1220-141626-44753</v>
      </c>
    </row>
    <row r="3930" spans="1:5" ht="14.25" customHeight="1">
      <c r="A3930" s="4">
        <v>1220</v>
      </c>
      <c r="B3930" s="4">
        <v>141626</v>
      </c>
      <c r="C3930" s="17">
        <v>44760</v>
      </c>
      <c r="D3930" s="4">
        <v>295</v>
      </c>
      <c r="E3930" t="str">
        <f t="shared" si="61"/>
        <v>1220-141626-44760</v>
      </c>
    </row>
    <row r="3931" spans="1:5" ht="14.25" customHeight="1">
      <c r="A3931" s="4">
        <v>1220</v>
      </c>
      <c r="B3931" s="4">
        <v>141626</v>
      </c>
      <c r="C3931" s="17">
        <v>44767</v>
      </c>
      <c r="D3931" s="4">
        <v>215</v>
      </c>
      <c r="E3931" t="str">
        <f t="shared" si="61"/>
        <v>1220-141626-44767</v>
      </c>
    </row>
    <row r="3932" spans="1:5" ht="14.25" customHeight="1">
      <c r="A3932" s="4">
        <v>1220</v>
      </c>
      <c r="B3932" s="4">
        <v>141626</v>
      </c>
      <c r="C3932" s="17">
        <v>44774</v>
      </c>
      <c r="D3932" s="4">
        <v>966</v>
      </c>
      <c r="E3932" t="str">
        <f t="shared" si="61"/>
        <v>1220-141626-44774</v>
      </c>
    </row>
    <row r="3933" spans="1:5" ht="14.25" customHeight="1">
      <c r="A3933" s="4">
        <v>1220</v>
      </c>
      <c r="B3933" s="4">
        <v>141626</v>
      </c>
      <c r="C3933" s="17">
        <v>44781</v>
      </c>
      <c r="D3933" s="4">
        <v>269</v>
      </c>
      <c r="E3933" t="str">
        <f t="shared" si="61"/>
        <v>1220-141626-44781</v>
      </c>
    </row>
    <row r="3934" spans="1:5" ht="14.25" customHeight="1">
      <c r="A3934" s="4">
        <v>1220</v>
      </c>
      <c r="B3934" s="4">
        <v>141626</v>
      </c>
      <c r="C3934" s="17">
        <v>44788</v>
      </c>
      <c r="D3934" s="4">
        <v>1154</v>
      </c>
      <c r="E3934" t="str">
        <f t="shared" si="61"/>
        <v>1220-141626-44788</v>
      </c>
    </row>
    <row r="3935" spans="1:5" ht="14.25" customHeight="1">
      <c r="A3935" s="4">
        <v>1220</v>
      </c>
      <c r="B3935" s="4">
        <v>141791</v>
      </c>
      <c r="C3935" s="17">
        <v>44739</v>
      </c>
      <c r="D3935" s="4">
        <v>27</v>
      </c>
      <c r="E3935" t="str">
        <f t="shared" si="61"/>
        <v>1220-141791-44739</v>
      </c>
    </row>
    <row r="3936" spans="1:5" ht="14.25" customHeight="1">
      <c r="A3936" s="4">
        <v>1220</v>
      </c>
      <c r="B3936" s="4">
        <v>141791</v>
      </c>
      <c r="C3936" s="17">
        <v>44746</v>
      </c>
      <c r="D3936" s="4">
        <v>36</v>
      </c>
      <c r="E3936" t="str">
        <f t="shared" si="61"/>
        <v>1220-141791-44746</v>
      </c>
    </row>
    <row r="3937" spans="1:5" ht="14.25" customHeight="1">
      <c r="A3937" s="4">
        <v>1220</v>
      </c>
      <c r="B3937" s="4">
        <v>141791</v>
      </c>
      <c r="C3937" s="17">
        <v>44753</v>
      </c>
      <c r="D3937" s="4">
        <v>30</v>
      </c>
      <c r="E3937" t="str">
        <f t="shared" si="61"/>
        <v>1220-141791-44753</v>
      </c>
    </row>
    <row r="3938" spans="1:5" ht="14.25" customHeight="1">
      <c r="A3938" s="4">
        <v>1220</v>
      </c>
      <c r="B3938" s="4">
        <v>141791</v>
      </c>
      <c r="C3938" s="17">
        <v>44760</v>
      </c>
      <c r="D3938" s="4">
        <v>9</v>
      </c>
      <c r="E3938" t="str">
        <f t="shared" si="61"/>
        <v>1220-141791-44760</v>
      </c>
    </row>
    <row r="3939" spans="1:5" ht="14.25" customHeight="1">
      <c r="A3939" s="4">
        <v>1220</v>
      </c>
      <c r="B3939" s="4">
        <v>141791</v>
      </c>
      <c r="C3939" s="17">
        <v>44767</v>
      </c>
      <c r="D3939" s="4">
        <v>10</v>
      </c>
      <c r="E3939" t="str">
        <f t="shared" si="61"/>
        <v>1220-141791-44767</v>
      </c>
    </row>
    <row r="3940" spans="1:5" ht="14.25" customHeight="1">
      <c r="A3940" s="4">
        <v>1220</v>
      </c>
      <c r="B3940" s="4">
        <v>141791</v>
      </c>
      <c r="C3940" s="17">
        <v>44774</v>
      </c>
      <c r="D3940" s="4">
        <v>34</v>
      </c>
      <c r="E3940" t="str">
        <f t="shared" si="61"/>
        <v>1220-141791-44774</v>
      </c>
    </row>
    <row r="3941" spans="1:5" ht="14.25" customHeight="1">
      <c r="A3941" s="4">
        <v>1220</v>
      </c>
      <c r="B3941" s="4">
        <v>141791</v>
      </c>
      <c r="C3941" s="17">
        <v>44781</v>
      </c>
      <c r="D3941" s="4">
        <v>27</v>
      </c>
      <c r="E3941" t="str">
        <f t="shared" si="61"/>
        <v>1220-141791-44781</v>
      </c>
    </row>
    <row r="3942" spans="1:5" ht="14.25" customHeight="1">
      <c r="A3942" s="4">
        <v>1220</v>
      </c>
      <c r="B3942" s="4">
        <v>141791</v>
      </c>
      <c r="C3942" s="17">
        <v>44788</v>
      </c>
      <c r="D3942" s="4">
        <v>18</v>
      </c>
      <c r="E3942" t="str">
        <f t="shared" si="61"/>
        <v>1220-141791-44788</v>
      </c>
    </row>
    <row r="3943" spans="1:5" ht="14.25" customHeight="1">
      <c r="A3943" s="4">
        <v>1220</v>
      </c>
      <c r="B3943" s="4">
        <v>141846</v>
      </c>
      <c r="C3943" s="17">
        <v>44739</v>
      </c>
      <c r="D3943" s="4">
        <v>6</v>
      </c>
      <c r="E3943" t="str">
        <f t="shared" si="61"/>
        <v>1220-141846-44739</v>
      </c>
    </row>
    <row r="3944" spans="1:5" ht="14.25" customHeight="1">
      <c r="A3944" s="4">
        <v>1220</v>
      </c>
      <c r="B3944" s="4">
        <v>141846</v>
      </c>
      <c r="C3944" s="17">
        <v>44746</v>
      </c>
      <c r="D3944" s="4">
        <v>6</v>
      </c>
      <c r="E3944" t="str">
        <f t="shared" si="61"/>
        <v>1220-141846-44746</v>
      </c>
    </row>
    <row r="3945" spans="1:5" ht="14.25" customHeight="1">
      <c r="A3945" s="4">
        <v>1220</v>
      </c>
      <c r="B3945" s="4">
        <v>141846</v>
      </c>
      <c r="C3945" s="17">
        <v>44753</v>
      </c>
      <c r="D3945" s="4">
        <v>6</v>
      </c>
      <c r="E3945" t="str">
        <f t="shared" si="61"/>
        <v>1220-141846-44753</v>
      </c>
    </row>
    <row r="3946" spans="1:5" ht="14.25" customHeight="1">
      <c r="A3946" s="4">
        <v>1220</v>
      </c>
      <c r="B3946" s="4">
        <v>141846</v>
      </c>
      <c r="C3946" s="17">
        <v>44760</v>
      </c>
      <c r="D3946" s="4">
        <v>6</v>
      </c>
      <c r="E3946" t="str">
        <f t="shared" si="61"/>
        <v>1220-141846-44760</v>
      </c>
    </row>
    <row r="3947" spans="1:5" ht="14.25" customHeight="1">
      <c r="A3947" s="4">
        <v>1220</v>
      </c>
      <c r="B3947" s="4">
        <v>141846</v>
      </c>
      <c r="C3947" s="17">
        <v>44767</v>
      </c>
      <c r="D3947" s="4">
        <v>6</v>
      </c>
      <c r="E3947" t="str">
        <f t="shared" si="61"/>
        <v>1220-141846-44767</v>
      </c>
    </row>
    <row r="3948" spans="1:5" ht="14.25" customHeight="1">
      <c r="A3948" s="4">
        <v>1220</v>
      </c>
      <c r="B3948" s="4">
        <v>141846</v>
      </c>
      <c r="C3948" s="17">
        <v>44774</v>
      </c>
      <c r="D3948" s="4">
        <v>6</v>
      </c>
      <c r="E3948" t="str">
        <f t="shared" si="61"/>
        <v>1220-141846-44774</v>
      </c>
    </row>
    <row r="3949" spans="1:5" ht="14.25" customHeight="1">
      <c r="A3949" s="4">
        <v>1220</v>
      </c>
      <c r="B3949" s="4">
        <v>141846</v>
      </c>
      <c r="C3949" s="17">
        <v>44781</v>
      </c>
      <c r="D3949" s="4">
        <v>6</v>
      </c>
      <c r="E3949" t="str">
        <f t="shared" si="61"/>
        <v>1220-141846-44781</v>
      </c>
    </row>
    <row r="3950" spans="1:5" ht="14.25" customHeight="1">
      <c r="A3950" s="4">
        <v>1220</v>
      </c>
      <c r="B3950" s="4">
        <v>141846</v>
      </c>
      <c r="C3950" s="17">
        <v>44788</v>
      </c>
      <c r="D3950" s="4">
        <v>6</v>
      </c>
      <c r="E3950" t="str">
        <f t="shared" si="61"/>
        <v>1220-141846-44788</v>
      </c>
    </row>
    <row r="3951" spans="1:5" ht="14.25" customHeight="1">
      <c r="A3951" s="4">
        <v>1220</v>
      </c>
      <c r="B3951" s="4">
        <v>141967</v>
      </c>
      <c r="C3951" s="17">
        <v>44739</v>
      </c>
      <c r="D3951" s="4">
        <v>6</v>
      </c>
      <c r="E3951" t="str">
        <f t="shared" si="61"/>
        <v>1220-141967-44739</v>
      </c>
    </row>
    <row r="3952" spans="1:5" ht="14.25" customHeight="1">
      <c r="A3952" s="4">
        <v>1220</v>
      </c>
      <c r="B3952" s="4">
        <v>141967</v>
      </c>
      <c r="C3952" s="17">
        <v>44746</v>
      </c>
      <c r="D3952" s="4">
        <v>7</v>
      </c>
      <c r="E3952" t="str">
        <f t="shared" si="61"/>
        <v>1220-141967-44746</v>
      </c>
    </row>
    <row r="3953" spans="1:5" ht="14.25" customHeight="1">
      <c r="A3953" s="4">
        <v>1220</v>
      </c>
      <c r="B3953" s="4">
        <v>141967</v>
      </c>
      <c r="C3953" s="17">
        <v>44753</v>
      </c>
      <c r="D3953" s="4">
        <v>4</v>
      </c>
      <c r="E3953" t="str">
        <f t="shared" si="61"/>
        <v>1220-141967-44753</v>
      </c>
    </row>
    <row r="3954" spans="1:5" ht="14.25" customHeight="1">
      <c r="A3954" s="4">
        <v>1220</v>
      </c>
      <c r="B3954" s="4">
        <v>141967</v>
      </c>
      <c r="C3954" s="17">
        <v>44760</v>
      </c>
      <c r="D3954" s="4">
        <v>6</v>
      </c>
      <c r="E3954" t="str">
        <f t="shared" si="61"/>
        <v>1220-141967-44760</v>
      </c>
    </row>
    <row r="3955" spans="1:5" ht="14.25" customHeight="1">
      <c r="A3955" s="4">
        <v>1220</v>
      </c>
      <c r="B3955" s="4">
        <v>141967</v>
      </c>
      <c r="C3955" s="17">
        <v>44767</v>
      </c>
      <c r="D3955" s="4">
        <v>6</v>
      </c>
      <c r="E3955" t="str">
        <f t="shared" si="61"/>
        <v>1220-141967-44767</v>
      </c>
    </row>
    <row r="3956" spans="1:5" ht="14.25" customHeight="1">
      <c r="A3956" s="4">
        <v>1220</v>
      </c>
      <c r="B3956" s="4">
        <v>141967</v>
      </c>
      <c r="C3956" s="17">
        <v>44774</v>
      </c>
      <c r="D3956" s="4">
        <v>7</v>
      </c>
      <c r="E3956" t="str">
        <f t="shared" si="61"/>
        <v>1220-141967-44774</v>
      </c>
    </row>
    <row r="3957" spans="1:5" ht="14.25" customHeight="1">
      <c r="A3957" s="4">
        <v>1220</v>
      </c>
      <c r="B3957" s="4">
        <v>141967</v>
      </c>
      <c r="C3957" s="17">
        <v>44781</v>
      </c>
      <c r="D3957" s="4">
        <v>6</v>
      </c>
      <c r="E3957" t="str">
        <f t="shared" si="61"/>
        <v>1220-141967-44781</v>
      </c>
    </row>
    <row r="3958" spans="1:5" ht="14.25" customHeight="1">
      <c r="A3958" s="4">
        <v>1220</v>
      </c>
      <c r="B3958" s="4">
        <v>141967</v>
      </c>
      <c r="C3958" s="17">
        <v>44788</v>
      </c>
      <c r="D3958" s="4">
        <v>6</v>
      </c>
      <c r="E3958" t="str">
        <f t="shared" si="61"/>
        <v>1220-141967-44788</v>
      </c>
    </row>
    <row r="3959" spans="1:5" ht="14.25" customHeight="1">
      <c r="A3959" s="4">
        <v>1220</v>
      </c>
      <c r="B3959" s="4">
        <v>142194</v>
      </c>
      <c r="C3959" s="17">
        <v>44739</v>
      </c>
      <c r="D3959" s="4">
        <v>34</v>
      </c>
      <c r="E3959" t="str">
        <f t="shared" si="61"/>
        <v>1220-142194-44739</v>
      </c>
    </row>
    <row r="3960" spans="1:5" ht="14.25" customHeight="1">
      <c r="A3960" s="4">
        <v>1220</v>
      </c>
      <c r="B3960" s="4">
        <v>142194</v>
      </c>
      <c r="C3960" s="17">
        <v>44746</v>
      </c>
      <c r="D3960" s="4">
        <v>29</v>
      </c>
      <c r="E3960" t="str">
        <f t="shared" si="61"/>
        <v>1220-142194-44746</v>
      </c>
    </row>
    <row r="3961" spans="1:5" ht="14.25" customHeight="1">
      <c r="A3961" s="4">
        <v>1220</v>
      </c>
      <c r="B3961" s="4">
        <v>142194</v>
      </c>
      <c r="C3961" s="17">
        <v>44753</v>
      </c>
      <c r="D3961" s="4">
        <v>24</v>
      </c>
      <c r="E3961" t="str">
        <f t="shared" si="61"/>
        <v>1220-142194-44753</v>
      </c>
    </row>
    <row r="3962" spans="1:5" ht="14.25" customHeight="1">
      <c r="A3962" s="4">
        <v>1220</v>
      </c>
      <c r="B3962" s="4">
        <v>142194</v>
      </c>
      <c r="C3962" s="17">
        <v>44760</v>
      </c>
      <c r="D3962" s="4">
        <v>26</v>
      </c>
      <c r="E3962" t="str">
        <f t="shared" si="61"/>
        <v>1220-142194-44760</v>
      </c>
    </row>
    <row r="3963" spans="1:5" ht="14.25" customHeight="1">
      <c r="A3963" s="4">
        <v>1220</v>
      </c>
      <c r="B3963" s="4">
        <v>142194</v>
      </c>
      <c r="C3963" s="17">
        <v>44767</v>
      </c>
      <c r="D3963" s="4">
        <v>29</v>
      </c>
      <c r="E3963" t="str">
        <f t="shared" si="61"/>
        <v>1220-142194-44767</v>
      </c>
    </row>
    <row r="3964" spans="1:5" ht="14.25" customHeight="1">
      <c r="A3964" s="4">
        <v>1220</v>
      </c>
      <c r="B3964" s="4">
        <v>142194</v>
      </c>
      <c r="C3964" s="17">
        <v>44774</v>
      </c>
      <c r="D3964" s="4">
        <v>34</v>
      </c>
      <c r="E3964" t="str">
        <f t="shared" si="61"/>
        <v>1220-142194-44774</v>
      </c>
    </row>
    <row r="3965" spans="1:5" ht="14.25" customHeight="1">
      <c r="A3965" s="4">
        <v>1220</v>
      </c>
      <c r="B3965" s="4">
        <v>142194</v>
      </c>
      <c r="C3965" s="17">
        <v>44781</v>
      </c>
      <c r="D3965" s="4">
        <v>9</v>
      </c>
      <c r="E3965" t="str">
        <f t="shared" si="61"/>
        <v>1220-142194-44781</v>
      </c>
    </row>
    <row r="3966" spans="1:5" ht="14.25" customHeight="1">
      <c r="A3966" s="4">
        <v>1220</v>
      </c>
      <c r="B3966" s="4">
        <v>142194</v>
      </c>
      <c r="C3966" s="17">
        <v>44788</v>
      </c>
      <c r="D3966" s="4">
        <v>12</v>
      </c>
      <c r="E3966" t="str">
        <f t="shared" si="61"/>
        <v>1220-142194-44788</v>
      </c>
    </row>
    <row r="3967" spans="1:5" ht="14.25" customHeight="1">
      <c r="A3967" s="4">
        <v>1220</v>
      </c>
      <c r="B3967" s="4">
        <v>149729</v>
      </c>
      <c r="C3967" s="17">
        <v>44739</v>
      </c>
      <c r="D3967" s="4">
        <v>23</v>
      </c>
      <c r="E3967" t="str">
        <f t="shared" si="61"/>
        <v>1220-149729-44739</v>
      </c>
    </row>
    <row r="3968" spans="1:5" ht="14.25" customHeight="1">
      <c r="A3968" s="4">
        <v>1220</v>
      </c>
      <c r="B3968" s="4">
        <v>149729</v>
      </c>
      <c r="C3968" s="17">
        <v>44746</v>
      </c>
      <c r="D3968" s="4">
        <v>39</v>
      </c>
      <c r="E3968" t="str">
        <f t="shared" si="61"/>
        <v>1220-149729-44746</v>
      </c>
    </row>
    <row r="3969" spans="1:5" ht="14.25" customHeight="1">
      <c r="A3969" s="4">
        <v>1220</v>
      </c>
      <c r="B3969" s="4">
        <v>149729</v>
      </c>
      <c r="C3969" s="17">
        <v>44753</v>
      </c>
      <c r="D3969" s="4">
        <v>36</v>
      </c>
      <c r="E3969" t="str">
        <f t="shared" si="61"/>
        <v>1220-149729-44753</v>
      </c>
    </row>
    <row r="3970" spans="1:5" ht="14.25" customHeight="1">
      <c r="A3970" s="4">
        <v>1220</v>
      </c>
      <c r="B3970" s="4">
        <v>149729</v>
      </c>
      <c r="C3970" s="17">
        <v>44760</v>
      </c>
      <c r="D3970" s="4">
        <v>34</v>
      </c>
      <c r="E3970" t="str">
        <f t="shared" si="61"/>
        <v>1220-149729-44760</v>
      </c>
    </row>
    <row r="3971" spans="1:5" ht="14.25" customHeight="1">
      <c r="A3971" s="4">
        <v>1220</v>
      </c>
      <c r="B3971" s="4">
        <v>149729</v>
      </c>
      <c r="C3971" s="17">
        <v>44767</v>
      </c>
      <c r="D3971" s="4">
        <v>34</v>
      </c>
      <c r="E3971" t="str">
        <f t="shared" ref="E3971:E4034" si="62">A3971&amp;"-"&amp;B3971&amp;"-"&amp;INT(C3971)</f>
        <v>1220-149729-44767</v>
      </c>
    </row>
    <row r="3972" spans="1:5" ht="14.25" customHeight="1">
      <c r="A3972" s="4">
        <v>1220</v>
      </c>
      <c r="B3972" s="4">
        <v>149729</v>
      </c>
      <c r="C3972" s="17">
        <v>44774</v>
      </c>
      <c r="D3972" s="4">
        <v>33</v>
      </c>
      <c r="E3972" t="str">
        <f t="shared" si="62"/>
        <v>1220-149729-44774</v>
      </c>
    </row>
    <row r="3973" spans="1:5" ht="14.25" customHeight="1">
      <c r="A3973" s="4">
        <v>1220</v>
      </c>
      <c r="B3973" s="4">
        <v>149729</v>
      </c>
      <c r="C3973" s="17">
        <v>44781</v>
      </c>
      <c r="D3973" s="4">
        <v>39</v>
      </c>
      <c r="E3973" t="str">
        <f t="shared" si="62"/>
        <v>1220-149729-44781</v>
      </c>
    </row>
    <row r="3974" spans="1:5" ht="14.25" customHeight="1">
      <c r="A3974" s="4">
        <v>1220</v>
      </c>
      <c r="B3974" s="4">
        <v>149729</v>
      </c>
      <c r="C3974" s="17">
        <v>44788</v>
      </c>
      <c r="D3974" s="4">
        <v>36</v>
      </c>
      <c r="E3974" t="str">
        <f t="shared" si="62"/>
        <v>1220-149729-44788</v>
      </c>
    </row>
    <row r="3975" spans="1:5" ht="14.25" customHeight="1">
      <c r="A3975" s="4">
        <v>1220</v>
      </c>
      <c r="B3975" s="4">
        <v>149779</v>
      </c>
      <c r="C3975" s="17">
        <v>44739</v>
      </c>
      <c r="D3975" s="4">
        <v>54</v>
      </c>
      <c r="E3975" t="str">
        <f t="shared" si="62"/>
        <v>1220-149779-44739</v>
      </c>
    </row>
    <row r="3976" spans="1:5" ht="14.25" customHeight="1">
      <c r="A3976" s="4">
        <v>1220</v>
      </c>
      <c r="B3976" s="4">
        <v>149779</v>
      </c>
      <c r="C3976" s="17">
        <v>44746</v>
      </c>
      <c r="D3976" s="4">
        <v>62</v>
      </c>
      <c r="E3976" t="str">
        <f t="shared" si="62"/>
        <v>1220-149779-44746</v>
      </c>
    </row>
    <row r="3977" spans="1:5" ht="14.25" customHeight="1">
      <c r="A3977" s="4">
        <v>1220</v>
      </c>
      <c r="B3977" s="4">
        <v>149779</v>
      </c>
      <c r="C3977" s="17">
        <v>44753</v>
      </c>
      <c r="D3977" s="4">
        <v>55</v>
      </c>
      <c r="E3977" t="str">
        <f t="shared" si="62"/>
        <v>1220-149779-44753</v>
      </c>
    </row>
    <row r="3978" spans="1:5" ht="14.25" customHeight="1">
      <c r="A3978" s="4">
        <v>1220</v>
      </c>
      <c r="B3978" s="4">
        <v>149779</v>
      </c>
      <c r="C3978" s="17">
        <v>44760</v>
      </c>
      <c r="D3978" s="4">
        <v>55</v>
      </c>
      <c r="E3978" t="str">
        <f t="shared" si="62"/>
        <v>1220-149779-44760</v>
      </c>
    </row>
    <row r="3979" spans="1:5" ht="14.25" customHeight="1">
      <c r="A3979" s="4">
        <v>1220</v>
      </c>
      <c r="B3979" s="4">
        <v>149779</v>
      </c>
      <c r="C3979" s="17">
        <v>44767</v>
      </c>
      <c r="D3979" s="4">
        <v>64</v>
      </c>
      <c r="E3979" t="str">
        <f t="shared" si="62"/>
        <v>1220-149779-44767</v>
      </c>
    </row>
    <row r="3980" spans="1:5" ht="14.25" customHeight="1">
      <c r="A3980" s="4">
        <v>1220</v>
      </c>
      <c r="B3980" s="4">
        <v>149779</v>
      </c>
      <c r="C3980" s="17">
        <v>44774</v>
      </c>
      <c r="D3980" s="4">
        <v>58</v>
      </c>
      <c r="E3980" t="str">
        <f t="shared" si="62"/>
        <v>1220-149779-44774</v>
      </c>
    </row>
    <row r="3981" spans="1:5" ht="14.25" customHeight="1">
      <c r="A3981" s="4">
        <v>1220</v>
      </c>
      <c r="B3981" s="4">
        <v>149779</v>
      </c>
      <c r="C3981" s="17">
        <v>44781</v>
      </c>
      <c r="D3981" s="4">
        <v>44</v>
      </c>
      <c r="E3981" t="str">
        <f t="shared" si="62"/>
        <v>1220-149779-44781</v>
      </c>
    </row>
    <row r="3982" spans="1:5" ht="14.25" customHeight="1">
      <c r="A3982" s="4">
        <v>1220</v>
      </c>
      <c r="B3982" s="4">
        <v>149779</v>
      </c>
      <c r="C3982" s="17">
        <v>44788</v>
      </c>
      <c r="D3982" s="4">
        <v>63</v>
      </c>
      <c r="E3982" t="str">
        <f t="shared" si="62"/>
        <v>1220-149779-44788</v>
      </c>
    </row>
    <row r="3983" spans="1:5" ht="14.25" customHeight="1">
      <c r="A3983" s="4">
        <v>1220</v>
      </c>
      <c r="B3983" s="4">
        <v>189933</v>
      </c>
      <c r="C3983" s="17">
        <v>44739</v>
      </c>
      <c r="D3983" s="4">
        <v>44</v>
      </c>
      <c r="E3983" t="str">
        <f t="shared" si="62"/>
        <v>1220-189933-44739</v>
      </c>
    </row>
    <row r="3984" spans="1:5" ht="14.25" customHeight="1">
      <c r="A3984" s="4">
        <v>1220</v>
      </c>
      <c r="B3984" s="4">
        <v>189933</v>
      </c>
      <c r="C3984" s="17">
        <v>44746</v>
      </c>
      <c r="D3984" s="4">
        <v>33</v>
      </c>
      <c r="E3984" t="str">
        <f t="shared" si="62"/>
        <v>1220-189933-44746</v>
      </c>
    </row>
    <row r="3985" spans="1:5" ht="14.25" customHeight="1">
      <c r="A3985" s="4">
        <v>1220</v>
      </c>
      <c r="B3985" s="4">
        <v>189933</v>
      </c>
      <c r="C3985" s="17">
        <v>44753</v>
      </c>
      <c r="D3985" s="4">
        <v>43</v>
      </c>
      <c r="E3985" t="str">
        <f t="shared" si="62"/>
        <v>1220-189933-44753</v>
      </c>
    </row>
    <row r="3986" spans="1:5" ht="14.25" customHeight="1">
      <c r="A3986" s="4">
        <v>1220</v>
      </c>
      <c r="B3986" s="4">
        <v>189933</v>
      </c>
      <c r="C3986" s="17">
        <v>44760</v>
      </c>
      <c r="D3986" s="4">
        <v>41</v>
      </c>
      <c r="E3986" t="str">
        <f t="shared" si="62"/>
        <v>1220-189933-44760</v>
      </c>
    </row>
    <row r="3987" spans="1:5" ht="14.25" customHeight="1">
      <c r="A3987" s="4">
        <v>1220</v>
      </c>
      <c r="B3987" s="4">
        <v>189933</v>
      </c>
      <c r="C3987" s="17">
        <v>44767</v>
      </c>
      <c r="D3987" s="4">
        <v>17</v>
      </c>
      <c r="E3987" t="str">
        <f t="shared" si="62"/>
        <v>1220-189933-44767</v>
      </c>
    </row>
    <row r="3988" spans="1:5" ht="14.25" customHeight="1">
      <c r="A3988" s="4">
        <v>1220</v>
      </c>
      <c r="B3988" s="4">
        <v>189933</v>
      </c>
      <c r="C3988" s="17">
        <v>44774</v>
      </c>
      <c r="D3988" s="4">
        <v>33</v>
      </c>
      <c r="E3988" t="str">
        <f t="shared" si="62"/>
        <v>1220-189933-44774</v>
      </c>
    </row>
    <row r="3989" spans="1:5" ht="14.25" customHeight="1">
      <c r="A3989" s="4">
        <v>1220</v>
      </c>
      <c r="B3989" s="4">
        <v>189933</v>
      </c>
      <c r="C3989" s="17">
        <v>44781</v>
      </c>
      <c r="D3989" s="4">
        <v>35</v>
      </c>
      <c r="E3989" t="str">
        <f t="shared" si="62"/>
        <v>1220-189933-44781</v>
      </c>
    </row>
    <row r="3990" spans="1:5" ht="14.25" customHeight="1">
      <c r="A3990" s="4">
        <v>1220</v>
      </c>
      <c r="B3990" s="4">
        <v>189933</v>
      </c>
      <c r="C3990" s="17">
        <v>44788</v>
      </c>
      <c r="D3990" s="4">
        <v>38</v>
      </c>
      <c r="E3990" t="str">
        <f t="shared" si="62"/>
        <v>1220-189933-44788</v>
      </c>
    </row>
    <row r="3991" spans="1:5" ht="14.25" customHeight="1">
      <c r="A3991" s="4">
        <v>1220</v>
      </c>
      <c r="B3991" s="4">
        <v>202577</v>
      </c>
      <c r="C3991" s="17">
        <v>44739</v>
      </c>
      <c r="D3991" s="4">
        <v>109</v>
      </c>
      <c r="E3991" t="str">
        <f t="shared" si="62"/>
        <v>1220-202577-44739</v>
      </c>
    </row>
    <row r="3992" spans="1:5" ht="14.25" customHeight="1">
      <c r="A3992" s="4">
        <v>1220</v>
      </c>
      <c r="B3992" s="4">
        <v>202577</v>
      </c>
      <c r="C3992" s="17">
        <v>44746</v>
      </c>
      <c r="D3992" s="4">
        <v>35</v>
      </c>
      <c r="E3992" t="str">
        <f t="shared" si="62"/>
        <v>1220-202577-44746</v>
      </c>
    </row>
    <row r="3993" spans="1:5" ht="14.25" customHeight="1">
      <c r="A3993" s="4">
        <v>1220</v>
      </c>
      <c r="B3993" s="4">
        <v>202577</v>
      </c>
      <c r="C3993" s="17">
        <v>44753</v>
      </c>
      <c r="D3993" s="4">
        <v>129</v>
      </c>
      <c r="E3993" t="str">
        <f t="shared" si="62"/>
        <v>1220-202577-44753</v>
      </c>
    </row>
    <row r="3994" spans="1:5" ht="14.25" customHeight="1">
      <c r="A3994" s="4">
        <v>1220</v>
      </c>
      <c r="B3994" s="4">
        <v>202577</v>
      </c>
      <c r="C3994" s="17">
        <v>44760</v>
      </c>
      <c r="D3994" s="4">
        <v>34</v>
      </c>
      <c r="E3994" t="str">
        <f t="shared" si="62"/>
        <v>1220-202577-44760</v>
      </c>
    </row>
    <row r="3995" spans="1:5" ht="14.25" customHeight="1">
      <c r="A3995" s="4">
        <v>1220</v>
      </c>
      <c r="B3995" s="4">
        <v>202577</v>
      </c>
      <c r="C3995" s="17">
        <v>44767</v>
      </c>
      <c r="D3995" s="4">
        <v>30</v>
      </c>
      <c r="E3995" t="str">
        <f t="shared" si="62"/>
        <v>1220-202577-44767</v>
      </c>
    </row>
    <row r="3996" spans="1:5" ht="14.25" customHeight="1">
      <c r="A3996" s="4">
        <v>1220</v>
      </c>
      <c r="B3996" s="4">
        <v>202577</v>
      </c>
      <c r="C3996" s="17">
        <v>44774</v>
      </c>
      <c r="D3996" s="4">
        <v>48</v>
      </c>
      <c r="E3996" t="str">
        <f t="shared" si="62"/>
        <v>1220-202577-44774</v>
      </c>
    </row>
    <row r="3997" spans="1:5" ht="14.25" customHeight="1">
      <c r="A3997" s="4">
        <v>1220</v>
      </c>
      <c r="B3997" s="4">
        <v>202577</v>
      </c>
      <c r="C3997" s="17">
        <v>44781</v>
      </c>
      <c r="D3997" s="4">
        <v>115</v>
      </c>
      <c r="E3997" t="str">
        <f t="shared" si="62"/>
        <v>1220-202577-44781</v>
      </c>
    </row>
    <row r="3998" spans="1:5" ht="14.25" customHeight="1">
      <c r="A3998" s="4">
        <v>1220</v>
      </c>
      <c r="B3998" s="4">
        <v>202577</v>
      </c>
      <c r="C3998" s="17">
        <v>44788</v>
      </c>
      <c r="D3998" s="4">
        <v>48</v>
      </c>
      <c r="E3998" t="str">
        <f t="shared" si="62"/>
        <v>1220-202577-44788</v>
      </c>
    </row>
    <row r="3999" spans="1:5" ht="14.25" customHeight="1">
      <c r="A3999" s="4">
        <v>1220</v>
      </c>
      <c r="B3999" s="4">
        <v>234334</v>
      </c>
      <c r="C3999" s="17">
        <v>44739</v>
      </c>
      <c r="D3999" s="4">
        <v>33</v>
      </c>
      <c r="E3999" t="str">
        <f t="shared" si="62"/>
        <v>1220-234334-44739</v>
      </c>
    </row>
    <row r="4000" spans="1:5" ht="14.25" customHeight="1">
      <c r="A4000" s="4">
        <v>1220</v>
      </c>
      <c r="B4000" s="4">
        <v>234334</v>
      </c>
      <c r="C4000" s="17">
        <v>44746</v>
      </c>
      <c r="D4000" s="4">
        <v>33</v>
      </c>
      <c r="E4000" t="str">
        <f t="shared" si="62"/>
        <v>1220-234334-44746</v>
      </c>
    </row>
    <row r="4001" spans="1:5" ht="14.25" customHeight="1">
      <c r="A4001" s="4">
        <v>1220</v>
      </c>
      <c r="B4001" s="4">
        <v>234334</v>
      </c>
      <c r="C4001" s="17">
        <v>44753</v>
      </c>
      <c r="D4001" s="4">
        <v>33</v>
      </c>
      <c r="E4001" t="str">
        <f t="shared" si="62"/>
        <v>1220-234334-44753</v>
      </c>
    </row>
    <row r="4002" spans="1:5" ht="14.25" customHeight="1">
      <c r="A4002" s="4">
        <v>1220</v>
      </c>
      <c r="B4002" s="4">
        <v>234334</v>
      </c>
      <c r="C4002" s="17">
        <v>44760</v>
      </c>
      <c r="D4002" s="4">
        <v>33</v>
      </c>
      <c r="E4002" t="str">
        <f t="shared" si="62"/>
        <v>1220-234334-44760</v>
      </c>
    </row>
    <row r="4003" spans="1:5" ht="14.25" customHeight="1">
      <c r="A4003" s="4">
        <v>1220</v>
      </c>
      <c r="B4003" s="4">
        <v>234334</v>
      </c>
      <c r="C4003" s="17">
        <v>44767</v>
      </c>
      <c r="D4003" s="4">
        <v>33</v>
      </c>
      <c r="E4003" t="str">
        <f t="shared" si="62"/>
        <v>1220-234334-44767</v>
      </c>
    </row>
    <row r="4004" spans="1:5" ht="14.25" customHeight="1">
      <c r="A4004" s="4">
        <v>1220</v>
      </c>
      <c r="B4004" s="4">
        <v>234334</v>
      </c>
      <c r="C4004" s="17">
        <v>44774</v>
      </c>
      <c r="D4004" s="4">
        <v>33</v>
      </c>
      <c r="E4004" t="str">
        <f t="shared" si="62"/>
        <v>1220-234334-44774</v>
      </c>
    </row>
    <row r="4005" spans="1:5" ht="14.25" customHeight="1">
      <c r="A4005" s="4">
        <v>1220</v>
      </c>
      <c r="B4005" s="4">
        <v>234334</v>
      </c>
      <c r="C4005" s="17">
        <v>44781</v>
      </c>
      <c r="D4005" s="4">
        <v>33</v>
      </c>
      <c r="E4005" t="str">
        <f t="shared" si="62"/>
        <v>1220-234334-44781</v>
      </c>
    </row>
    <row r="4006" spans="1:5" ht="14.25" customHeight="1">
      <c r="A4006" s="4">
        <v>1220</v>
      </c>
      <c r="B4006" s="4">
        <v>234334</v>
      </c>
      <c r="C4006" s="17">
        <v>44788</v>
      </c>
      <c r="D4006" s="4">
        <v>33</v>
      </c>
      <c r="E4006" t="str">
        <f t="shared" si="62"/>
        <v>1220-234334-44788</v>
      </c>
    </row>
    <row r="4007" spans="1:5" ht="14.25" customHeight="1">
      <c r="A4007" s="4">
        <v>1220</v>
      </c>
      <c r="B4007" s="4">
        <v>249444</v>
      </c>
      <c r="C4007" s="17">
        <v>44739</v>
      </c>
      <c r="D4007" s="4">
        <v>561</v>
      </c>
      <c r="E4007" t="str">
        <f t="shared" si="62"/>
        <v>1220-249444-44739</v>
      </c>
    </row>
    <row r="4008" spans="1:5" ht="14.25" customHeight="1">
      <c r="A4008" s="4">
        <v>1220</v>
      </c>
      <c r="B4008" s="4">
        <v>249444</v>
      </c>
      <c r="C4008" s="17">
        <v>44746</v>
      </c>
      <c r="D4008" s="4">
        <v>495</v>
      </c>
      <c r="E4008" t="str">
        <f t="shared" si="62"/>
        <v>1220-249444-44746</v>
      </c>
    </row>
    <row r="4009" spans="1:5" ht="14.25" customHeight="1">
      <c r="A4009" s="4">
        <v>1220</v>
      </c>
      <c r="B4009" s="4">
        <v>249444</v>
      </c>
      <c r="C4009" s="17">
        <v>44753</v>
      </c>
      <c r="D4009" s="4">
        <v>437</v>
      </c>
      <c r="E4009" t="str">
        <f t="shared" si="62"/>
        <v>1220-249444-44753</v>
      </c>
    </row>
    <row r="4010" spans="1:5" ht="14.25" customHeight="1">
      <c r="A4010" s="4">
        <v>1220</v>
      </c>
      <c r="B4010" s="4">
        <v>249444</v>
      </c>
      <c r="C4010" s="17">
        <v>44760</v>
      </c>
      <c r="D4010" s="4">
        <v>144</v>
      </c>
      <c r="E4010" t="str">
        <f t="shared" si="62"/>
        <v>1220-249444-44760</v>
      </c>
    </row>
    <row r="4011" spans="1:5" ht="14.25" customHeight="1">
      <c r="A4011" s="4">
        <v>1220</v>
      </c>
      <c r="B4011" s="4">
        <v>249444</v>
      </c>
      <c r="C4011" s="17">
        <v>44767</v>
      </c>
      <c r="D4011" s="4">
        <v>220</v>
      </c>
      <c r="E4011" t="str">
        <f t="shared" si="62"/>
        <v>1220-249444-44767</v>
      </c>
    </row>
    <row r="4012" spans="1:5" ht="14.25" customHeight="1">
      <c r="A4012" s="4">
        <v>1220</v>
      </c>
      <c r="B4012" s="4">
        <v>249444</v>
      </c>
      <c r="C4012" s="17">
        <v>44774</v>
      </c>
      <c r="D4012" s="4">
        <v>706</v>
      </c>
      <c r="E4012" t="str">
        <f t="shared" si="62"/>
        <v>1220-249444-44774</v>
      </c>
    </row>
    <row r="4013" spans="1:5" ht="14.25" customHeight="1">
      <c r="A4013" s="4">
        <v>1220</v>
      </c>
      <c r="B4013" s="4">
        <v>249444</v>
      </c>
      <c r="C4013" s="17">
        <v>44781</v>
      </c>
      <c r="D4013" s="4">
        <v>531</v>
      </c>
      <c r="E4013" t="str">
        <f t="shared" si="62"/>
        <v>1220-249444-44781</v>
      </c>
    </row>
    <row r="4014" spans="1:5" ht="14.25" customHeight="1">
      <c r="A4014" s="4">
        <v>1220</v>
      </c>
      <c r="B4014" s="4">
        <v>249444</v>
      </c>
      <c r="C4014" s="17">
        <v>44788</v>
      </c>
      <c r="D4014" s="4">
        <v>695</v>
      </c>
      <c r="E4014" t="str">
        <f t="shared" si="62"/>
        <v>1220-249444-44788</v>
      </c>
    </row>
    <row r="4015" spans="1:5" ht="14.25" customHeight="1">
      <c r="A4015" s="4">
        <v>1220</v>
      </c>
      <c r="B4015" s="4">
        <v>249795</v>
      </c>
      <c r="C4015" s="17">
        <v>44739</v>
      </c>
      <c r="D4015" s="4">
        <v>26</v>
      </c>
      <c r="E4015" t="str">
        <f t="shared" si="62"/>
        <v>1220-249795-44739</v>
      </c>
    </row>
    <row r="4016" spans="1:5" ht="14.25" customHeight="1">
      <c r="A4016" s="4">
        <v>1220</v>
      </c>
      <c r="B4016" s="4">
        <v>249795</v>
      </c>
      <c r="C4016" s="17">
        <v>44746</v>
      </c>
      <c r="D4016" s="4">
        <v>25</v>
      </c>
      <c r="E4016" t="str">
        <f t="shared" si="62"/>
        <v>1220-249795-44746</v>
      </c>
    </row>
    <row r="4017" spans="1:5" ht="14.25" customHeight="1">
      <c r="A4017" s="4">
        <v>1220</v>
      </c>
      <c r="B4017" s="4">
        <v>249795</v>
      </c>
      <c r="C4017" s="17">
        <v>44753</v>
      </c>
      <c r="D4017" s="4">
        <v>26</v>
      </c>
      <c r="E4017" t="str">
        <f t="shared" si="62"/>
        <v>1220-249795-44753</v>
      </c>
    </row>
    <row r="4018" spans="1:5" ht="14.25" customHeight="1">
      <c r="A4018" s="4">
        <v>1220</v>
      </c>
      <c r="B4018" s="4">
        <v>249795</v>
      </c>
      <c r="C4018" s="17">
        <v>44760</v>
      </c>
      <c r="D4018" s="4">
        <v>18</v>
      </c>
      <c r="E4018" t="str">
        <f t="shared" si="62"/>
        <v>1220-249795-44760</v>
      </c>
    </row>
    <row r="4019" spans="1:5" ht="14.25" customHeight="1">
      <c r="A4019" s="4">
        <v>1220</v>
      </c>
      <c r="B4019" s="4">
        <v>249795</v>
      </c>
      <c r="C4019" s="17">
        <v>44767</v>
      </c>
      <c r="D4019" s="4">
        <v>28</v>
      </c>
      <c r="E4019" t="str">
        <f t="shared" si="62"/>
        <v>1220-249795-44767</v>
      </c>
    </row>
    <row r="4020" spans="1:5" ht="14.25" customHeight="1">
      <c r="A4020" s="4">
        <v>1220</v>
      </c>
      <c r="B4020" s="4">
        <v>249795</v>
      </c>
      <c r="C4020" s="17">
        <v>44774</v>
      </c>
      <c r="D4020" s="4">
        <v>23</v>
      </c>
      <c r="E4020" t="str">
        <f t="shared" si="62"/>
        <v>1220-249795-44774</v>
      </c>
    </row>
    <row r="4021" spans="1:5" ht="14.25" customHeight="1">
      <c r="A4021" s="4">
        <v>1220</v>
      </c>
      <c r="B4021" s="4">
        <v>249795</v>
      </c>
      <c r="C4021" s="17">
        <v>44781</v>
      </c>
      <c r="D4021" s="4">
        <v>21</v>
      </c>
      <c r="E4021" t="str">
        <f t="shared" si="62"/>
        <v>1220-249795-44781</v>
      </c>
    </row>
    <row r="4022" spans="1:5" ht="14.25" customHeight="1">
      <c r="A4022" s="4">
        <v>1220</v>
      </c>
      <c r="B4022" s="4">
        <v>249795</v>
      </c>
      <c r="C4022" s="17">
        <v>44788</v>
      </c>
      <c r="D4022" s="4">
        <v>12</v>
      </c>
      <c r="E4022" t="str">
        <f t="shared" si="62"/>
        <v>1220-249795-44788</v>
      </c>
    </row>
    <row r="4023" spans="1:5" ht="14.25" customHeight="1">
      <c r="A4023" s="4">
        <v>1220</v>
      </c>
      <c r="B4023" s="4">
        <v>250979</v>
      </c>
      <c r="C4023" s="17">
        <v>44739</v>
      </c>
      <c r="D4023" s="4">
        <v>140</v>
      </c>
      <c r="E4023" t="str">
        <f t="shared" si="62"/>
        <v>1220-250979-44739</v>
      </c>
    </row>
    <row r="4024" spans="1:5" ht="14.25" customHeight="1">
      <c r="A4024" s="4">
        <v>1220</v>
      </c>
      <c r="B4024" s="4">
        <v>250979</v>
      </c>
      <c r="C4024" s="17">
        <v>44746</v>
      </c>
      <c r="D4024" s="4">
        <v>176</v>
      </c>
      <c r="E4024" t="str">
        <f t="shared" si="62"/>
        <v>1220-250979-44746</v>
      </c>
    </row>
    <row r="4025" spans="1:5" ht="14.25" customHeight="1">
      <c r="A4025" s="4">
        <v>1220</v>
      </c>
      <c r="B4025" s="4">
        <v>250979</v>
      </c>
      <c r="C4025" s="17">
        <v>44753</v>
      </c>
      <c r="D4025" s="4">
        <v>146</v>
      </c>
      <c r="E4025" t="str">
        <f t="shared" si="62"/>
        <v>1220-250979-44753</v>
      </c>
    </row>
    <row r="4026" spans="1:5" ht="14.25" customHeight="1">
      <c r="A4026" s="4">
        <v>1220</v>
      </c>
      <c r="B4026" s="4">
        <v>250979</v>
      </c>
      <c r="C4026" s="17">
        <v>44760</v>
      </c>
      <c r="D4026" s="4">
        <v>141</v>
      </c>
      <c r="E4026" t="str">
        <f t="shared" si="62"/>
        <v>1220-250979-44760</v>
      </c>
    </row>
    <row r="4027" spans="1:5" ht="14.25" customHeight="1">
      <c r="A4027" s="4">
        <v>1220</v>
      </c>
      <c r="B4027" s="4">
        <v>250979</v>
      </c>
      <c r="C4027" s="17">
        <v>44767</v>
      </c>
      <c r="D4027" s="4">
        <v>110</v>
      </c>
      <c r="E4027" t="str">
        <f t="shared" si="62"/>
        <v>1220-250979-44767</v>
      </c>
    </row>
    <row r="4028" spans="1:5" ht="14.25" customHeight="1">
      <c r="A4028" s="4">
        <v>1220</v>
      </c>
      <c r="B4028" s="4">
        <v>250979</v>
      </c>
      <c r="C4028" s="17">
        <v>44774</v>
      </c>
      <c r="D4028" s="4">
        <v>160</v>
      </c>
      <c r="E4028" t="str">
        <f t="shared" si="62"/>
        <v>1220-250979-44774</v>
      </c>
    </row>
    <row r="4029" spans="1:5" ht="14.25" customHeight="1">
      <c r="A4029" s="4">
        <v>1220</v>
      </c>
      <c r="B4029" s="4">
        <v>250979</v>
      </c>
      <c r="C4029" s="17">
        <v>44781</v>
      </c>
      <c r="D4029" s="4">
        <v>84</v>
      </c>
      <c r="E4029" t="str">
        <f t="shared" si="62"/>
        <v>1220-250979-44781</v>
      </c>
    </row>
    <row r="4030" spans="1:5" ht="14.25" customHeight="1">
      <c r="A4030" s="4">
        <v>1220</v>
      </c>
      <c r="B4030" s="4">
        <v>250979</v>
      </c>
      <c r="C4030" s="17">
        <v>44788</v>
      </c>
      <c r="D4030" s="4">
        <v>114</v>
      </c>
      <c r="E4030" t="str">
        <f t="shared" si="62"/>
        <v>1220-250979-44788</v>
      </c>
    </row>
    <row r="4031" spans="1:5" ht="14.25" customHeight="1">
      <c r="A4031" s="4">
        <v>1220</v>
      </c>
      <c r="B4031" s="4">
        <v>250981</v>
      </c>
      <c r="C4031" s="17">
        <v>44739</v>
      </c>
      <c r="D4031" s="4">
        <v>19</v>
      </c>
      <c r="E4031" t="str">
        <f t="shared" si="62"/>
        <v>1220-250981-44739</v>
      </c>
    </row>
    <row r="4032" spans="1:5" ht="14.25" customHeight="1">
      <c r="A4032" s="4">
        <v>1220</v>
      </c>
      <c r="B4032" s="4">
        <v>250981</v>
      </c>
      <c r="C4032" s="17">
        <v>44746</v>
      </c>
      <c r="D4032" s="4">
        <v>6</v>
      </c>
      <c r="E4032" t="str">
        <f t="shared" si="62"/>
        <v>1220-250981-44746</v>
      </c>
    </row>
    <row r="4033" spans="1:5" ht="14.25" customHeight="1">
      <c r="A4033" s="4">
        <v>1220</v>
      </c>
      <c r="B4033" s="4">
        <v>250981</v>
      </c>
      <c r="C4033" s="17">
        <v>44753</v>
      </c>
      <c r="D4033" s="4">
        <v>32</v>
      </c>
      <c r="E4033" t="str">
        <f t="shared" si="62"/>
        <v>1220-250981-44753</v>
      </c>
    </row>
    <row r="4034" spans="1:5" ht="14.25" customHeight="1">
      <c r="A4034" s="4">
        <v>1220</v>
      </c>
      <c r="B4034" s="4">
        <v>250981</v>
      </c>
      <c r="C4034" s="17">
        <v>44760</v>
      </c>
      <c r="D4034" s="4">
        <v>4</v>
      </c>
      <c r="E4034" t="str">
        <f t="shared" si="62"/>
        <v>1220-250981-44760</v>
      </c>
    </row>
    <row r="4035" spans="1:5" ht="14.25" customHeight="1">
      <c r="A4035" s="4">
        <v>1220</v>
      </c>
      <c r="B4035" s="4">
        <v>250981</v>
      </c>
      <c r="C4035" s="17">
        <v>44767</v>
      </c>
      <c r="D4035" s="4">
        <v>10</v>
      </c>
      <c r="E4035" t="str">
        <f t="shared" ref="E4035:E4098" si="63">A4035&amp;"-"&amp;B4035&amp;"-"&amp;INT(C4035)</f>
        <v>1220-250981-44767</v>
      </c>
    </row>
    <row r="4036" spans="1:5" ht="14.25" customHeight="1">
      <c r="A4036" s="4">
        <v>1220</v>
      </c>
      <c r="B4036" s="4">
        <v>250981</v>
      </c>
      <c r="C4036" s="17">
        <v>44774</v>
      </c>
      <c r="D4036" s="4">
        <v>34</v>
      </c>
      <c r="E4036" t="str">
        <f t="shared" si="63"/>
        <v>1220-250981-44774</v>
      </c>
    </row>
    <row r="4037" spans="1:5" ht="14.25" customHeight="1">
      <c r="A4037" s="4">
        <v>1220</v>
      </c>
      <c r="B4037" s="4">
        <v>250981</v>
      </c>
      <c r="C4037" s="17">
        <v>44781</v>
      </c>
      <c r="D4037" s="4">
        <v>24</v>
      </c>
      <c r="E4037" t="str">
        <f t="shared" si="63"/>
        <v>1220-250981-44781</v>
      </c>
    </row>
    <row r="4038" spans="1:5" ht="14.25" customHeight="1">
      <c r="A4038" s="4">
        <v>1220</v>
      </c>
      <c r="B4038" s="4">
        <v>250981</v>
      </c>
      <c r="C4038" s="17">
        <v>44788</v>
      </c>
      <c r="D4038" s="4">
        <v>19</v>
      </c>
      <c r="E4038" t="str">
        <f t="shared" si="63"/>
        <v>1220-250981-44788</v>
      </c>
    </row>
    <row r="4039" spans="1:5" ht="14.25" customHeight="1">
      <c r="A4039" s="4">
        <v>1220</v>
      </c>
      <c r="B4039" s="4">
        <v>262294</v>
      </c>
      <c r="C4039" s="17">
        <v>44739</v>
      </c>
      <c r="D4039" s="4">
        <v>24</v>
      </c>
      <c r="E4039" t="str">
        <f t="shared" si="63"/>
        <v>1220-262294-44739</v>
      </c>
    </row>
    <row r="4040" spans="1:5" ht="14.25" customHeight="1">
      <c r="A4040" s="4">
        <v>1220</v>
      </c>
      <c r="B4040" s="4">
        <v>262294</v>
      </c>
      <c r="C4040" s="17">
        <v>44746</v>
      </c>
      <c r="D4040" s="4">
        <v>15</v>
      </c>
      <c r="E4040" t="str">
        <f t="shared" si="63"/>
        <v>1220-262294-44746</v>
      </c>
    </row>
    <row r="4041" spans="1:5" ht="14.25" customHeight="1">
      <c r="A4041" s="4">
        <v>1220</v>
      </c>
      <c r="B4041" s="4">
        <v>262294</v>
      </c>
      <c r="C4041" s="17">
        <v>44753</v>
      </c>
      <c r="D4041" s="4">
        <v>38</v>
      </c>
      <c r="E4041" t="str">
        <f t="shared" si="63"/>
        <v>1220-262294-44753</v>
      </c>
    </row>
    <row r="4042" spans="1:5" ht="14.25" customHeight="1">
      <c r="A4042" s="4">
        <v>1220</v>
      </c>
      <c r="B4042" s="4">
        <v>262294</v>
      </c>
      <c r="C4042" s="17">
        <v>44760</v>
      </c>
      <c r="D4042" s="4">
        <v>13</v>
      </c>
      <c r="E4042" t="str">
        <f t="shared" si="63"/>
        <v>1220-262294-44760</v>
      </c>
    </row>
    <row r="4043" spans="1:5" ht="14.25" customHeight="1">
      <c r="A4043" s="4">
        <v>1220</v>
      </c>
      <c r="B4043" s="4">
        <v>262294</v>
      </c>
      <c r="C4043" s="17">
        <v>44767</v>
      </c>
      <c r="D4043" s="4">
        <v>30</v>
      </c>
      <c r="E4043" t="str">
        <f t="shared" si="63"/>
        <v>1220-262294-44767</v>
      </c>
    </row>
    <row r="4044" spans="1:5" ht="14.25" customHeight="1">
      <c r="A4044" s="4">
        <v>1220</v>
      </c>
      <c r="B4044" s="4">
        <v>262294</v>
      </c>
      <c r="C4044" s="17">
        <v>44774</v>
      </c>
      <c r="D4044" s="4">
        <v>32</v>
      </c>
      <c r="E4044" t="str">
        <f t="shared" si="63"/>
        <v>1220-262294-44774</v>
      </c>
    </row>
    <row r="4045" spans="1:5" ht="14.25" customHeight="1">
      <c r="A4045" s="4">
        <v>1220</v>
      </c>
      <c r="B4045" s="4">
        <v>262294</v>
      </c>
      <c r="C4045" s="17">
        <v>44781</v>
      </c>
      <c r="D4045" s="4">
        <v>14</v>
      </c>
      <c r="E4045" t="str">
        <f t="shared" si="63"/>
        <v>1220-262294-44781</v>
      </c>
    </row>
    <row r="4046" spans="1:5" ht="14.25" customHeight="1">
      <c r="A4046" s="4">
        <v>1220</v>
      </c>
      <c r="B4046" s="4">
        <v>262294</v>
      </c>
      <c r="C4046" s="17">
        <v>44788</v>
      </c>
      <c r="D4046" s="4">
        <v>31</v>
      </c>
      <c r="E4046" t="str">
        <f t="shared" si="63"/>
        <v>1220-262294-44788</v>
      </c>
    </row>
    <row r="4047" spans="1:5" ht="14.25" customHeight="1">
      <c r="A4047" s="4">
        <v>1220</v>
      </c>
      <c r="B4047" s="4">
        <v>268831</v>
      </c>
      <c r="C4047" s="17">
        <v>44739</v>
      </c>
      <c r="D4047" s="4">
        <v>19</v>
      </c>
      <c r="E4047" t="str">
        <f t="shared" si="63"/>
        <v>1220-268831-44739</v>
      </c>
    </row>
    <row r="4048" spans="1:5" ht="14.25" customHeight="1">
      <c r="A4048" s="4">
        <v>1220</v>
      </c>
      <c r="B4048" s="4">
        <v>268831</v>
      </c>
      <c r="C4048" s="17">
        <v>44746</v>
      </c>
      <c r="D4048" s="4">
        <v>65</v>
      </c>
      <c r="E4048" t="str">
        <f t="shared" si="63"/>
        <v>1220-268831-44746</v>
      </c>
    </row>
    <row r="4049" spans="1:5" ht="14.25" customHeight="1">
      <c r="A4049" s="4">
        <v>1220</v>
      </c>
      <c r="B4049" s="4">
        <v>268831</v>
      </c>
      <c r="C4049" s="17">
        <v>44753</v>
      </c>
      <c r="D4049" s="4">
        <v>27</v>
      </c>
      <c r="E4049" t="str">
        <f t="shared" si="63"/>
        <v>1220-268831-44753</v>
      </c>
    </row>
    <row r="4050" spans="1:5" ht="14.25" customHeight="1">
      <c r="A4050" s="4">
        <v>1220</v>
      </c>
      <c r="B4050" s="4">
        <v>268831</v>
      </c>
      <c r="C4050" s="17">
        <v>44760</v>
      </c>
      <c r="D4050" s="4">
        <v>56</v>
      </c>
      <c r="E4050" t="str">
        <f t="shared" si="63"/>
        <v>1220-268831-44760</v>
      </c>
    </row>
    <row r="4051" spans="1:5" ht="14.25" customHeight="1">
      <c r="A4051" s="4">
        <v>1220</v>
      </c>
      <c r="B4051" s="4">
        <v>268831</v>
      </c>
      <c r="C4051" s="17">
        <v>44767</v>
      </c>
      <c r="D4051" s="4">
        <v>68</v>
      </c>
      <c r="E4051" t="str">
        <f t="shared" si="63"/>
        <v>1220-268831-44767</v>
      </c>
    </row>
    <row r="4052" spans="1:5" ht="14.25" customHeight="1">
      <c r="A4052" s="4">
        <v>1220</v>
      </c>
      <c r="B4052" s="4">
        <v>268831</v>
      </c>
      <c r="C4052" s="17">
        <v>44774</v>
      </c>
      <c r="D4052" s="4">
        <v>50</v>
      </c>
      <c r="E4052" t="str">
        <f t="shared" si="63"/>
        <v>1220-268831-44774</v>
      </c>
    </row>
    <row r="4053" spans="1:5" ht="14.25" customHeight="1">
      <c r="A4053" s="4">
        <v>1220</v>
      </c>
      <c r="B4053" s="4">
        <v>268831</v>
      </c>
      <c r="C4053" s="17">
        <v>44781</v>
      </c>
      <c r="D4053" s="4">
        <v>69</v>
      </c>
      <c r="E4053" t="str">
        <f t="shared" si="63"/>
        <v>1220-268831-44781</v>
      </c>
    </row>
    <row r="4054" spans="1:5" ht="14.25" customHeight="1">
      <c r="A4054" s="4">
        <v>1220</v>
      </c>
      <c r="B4054" s="4">
        <v>268831</v>
      </c>
      <c r="C4054" s="17">
        <v>44788</v>
      </c>
      <c r="D4054" s="4">
        <v>63</v>
      </c>
      <c r="E4054" t="str">
        <f t="shared" si="63"/>
        <v>1220-268831-44788</v>
      </c>
    </row>
    <row r="4055" spans="1:5" ht="14.25" customHeight="1">
      <c r="A4055" s="4">
        <v>1220</v>
      </c>
      <c r="B4055" s="4">
        <v>273701</v>
      </c>
      <c r="C4055" s="17">
        <v>44739</v>
      </c>
      <c r="D4055" s="4">
        <v>42</v>
      </c>
      <c r="E4055" t="str">
        <f t="shared" si="63"/>
        <v>1220-273701-44739</v>
      </c>
    </row>
    <row r="4056" spans="1:5" ht="14.25" customHeight="1">
      <c r="A4056" s="4">
        <v>1220</v>
      </c>
      <c r="B4056" s="4">
        <v>273701</v>
      </c>
      <c r="C4056" s="17">
        <v>44746</v>
      </c>
      <c r="D4056" s="4">
        <v>10</v>
      </c>
      <c r="E4056" t="str">
        <f t="shared" si="63"/>
        <v>1220-273701-44746</v>
      </c>
    </row>
    <row r="4057" spans="1:5" ht="14.25" customHeight="1">
      <c r="A4057" s="4">
        <v>1220</v>
      </c>
      <c r="B4057" s="4">
        <v>273701</v>
      </c>
      <c r="C4057" s="17">
        <v>44753</v>
      </c>
      <c r="D4057" s="4">
        <v>45</v>
      </c>
      <c r="E4057" t="str">
        <f t="shared" si="63"/>
        <v>1220-273701-44753</v>
      </c>
    </row>
    <row r="4058" spans="1:5" ht="14.25" customHeight="1">
      <c r="A4058" s="4">
        <v>1220</v>
      </c>
      <c r="B4058" s="4">
        <v>273701</v>
      </c>
      <c r="C4058" s="17">
        <v>44760</v>
      </c>
      <c r="D4058" s="4">
        <v>16</v>
      </c>
      <c r="E4058" t="str">
        <f t="shared" si="63"/>
        <v>1220-273701-44760</v>
      </c>
    </row>
    <row r="4059" spans="1:5" ht="14.25" customHeight="1">
      <c r="A4059" s="4">
        <v>1220</v>
      </c>
      <c r="B4059" s="4">
        <v>273701</v>
      </c>
      <c r="C4059" s="17">
        <v>44767</v>
      </c>
      <c r="D4059" s="4">
        <v>41</v>
      </c>
      <c r="E4059" t="str">
        <f t="shared" si="63"/>
        <v>1220-273701-44767</v>
      </c>
    </row>
    <row r="4060" spans="1:5" ht="14.25" customHeight="1">
      <c r="A4060" s="4">
        <v>1220</v>
      </c>
      <c r="B4060" s="4">
        <v>273701</v>
      </c>
      <c r="C4060" s="17">
        <v>44774</v>
      </c>
      <c r="D4060" s="4">
        <v>54</v>
      </c>
      <c r="E4060" t="str">
        <f t="shared" si="63"/>
        <v>1220-273701-44774</v>
      </c>
    </row>
    <row r="4061" spans="1:5" ht="14.25" customHeight="1">
      <c r="A4061" s="4">
        <v>1220</v>
      </c>
      <c r="B4061" s="4">
        <v>273701</v>
      </c>
      <c r="C4061" s="17">
        <v>44781</v>
      </c>
      <c r="D4061" s="4">
        <v>57</v>
      </c>
      <c r="E4061" t="str">
        <f t="shared" si="63"/>
        <v>1220-273701-44781</v>
      </c>
    </row>
    <row r="4062" spans="1:5" ht="14.25" customHeight="1">
      <c r="A4062" s="4">
        <v>1220</v>
      </c>
      <c r="B4062" s="4">
        <v>273701</v>
      </c>
      <c r="C4062" s="17">
        <v>44788</v>
      </c>
      <c r="D4062" s="4">
        <v>10</v>
      </c>
      <c r="E4062" t="str">
        <f t="shared" si="63"/>
        <v>1220-273701-44788</v>
      </c>
    </row>
    <row r="4063" spans="1:5" ht="14.25" customHeight="1">
      <c r="A4063" s="4">
        <v>1220</v>
      </c>
      <c r="B4063" s="4">
        <v>291726</v>
      </c>
      <c r="C4063" s="17">
        <v>44739</v>
      </c>
      <c r="D4063" s="4">
        <v>6</v>
      </c>
      <c r="E4063" t="str">
        <f t="shared" si="63"/>
        <v>1220-291726-44739</v>
      </c>
    </row>
    <row r="4064" spans="1:5" ht="14.25" customHeight="1">
      <c r="A4064" s="4">
        <v>1220</v>
      </c>
      <c r="B4064" s="4">
        <v>291726</v>
      </c>
      <c r="C4064" s="17">
        <v>44746</v>
      </c>
      <c r="D4064" s="4">
        <v>6</v>
      </c>
      <c r="E4064" t="str">
        <f t="shared" si="63"/>
        <v>1220-291726-44746</v>
      </c>
    </row>
    <row r="4065" spans="1:5" ht="14.25" customHeight="1">
      <c r="A4065" s="4">
        <v>1220</v>
      </c>
      <c r="B4065" s="4">
        <v>291726</v>
      </c>
      <c r="C4065" s="17">
        <v>44753</v>
      </c>
      <c r="D4065" s="4">
        <v>10</v>
      </c>
      <c r="E4065" t="str">
        <f t="shared" si="63"/>
        <v>1220-291726-44753</v>
      </c>
    </row>
    <row r="4066" spans="1:5" ht="14.25" customHeight="1">
      <c r="A4066" s="4">
        <v>1220</v>
      </c>
      <c r="B4066" s="4">
        <v>291726</v>
      </c>
      <c r="C4066" s="17">
        <v>44760</v>
      </c>
      <c r="D4066" s="4">
        <v>10</v>
      </c>
      <c r="E4066" t="str">
        <f t="shared" si="63"/>
        <v>1220-291726-44760</v>
      </c>
    </row>
    <row r="4067" spans="1:5" ht="14.25" customHeight="1">
      <c r="A4067" s="4">
        <v>1220</v>
      </c>
      <c r="B4067" s="4">
        <v>291726</v>
      </c>
      <c r="C4067" s="17">
        <v>44767</v>
      </c>
      <c r="D4067" s="4">
        <v>8</v>
      </c>
      <c r="E4067" t="str">
        <f t="shared" si="63"/>
        <v>1220-291726-44767</v>
      </c>
    </row>
    <row r="4068" spans="1:5" ht="14.25" customHeight="1">
      <c r="A4068" s="4">
        <v>1220</v>
      </c>
      <c r="B4068" s="4">
        <v>291726</v>
      </c>
      <c r="C4068" s="17">
        <v>44774</v>
      </c>
      <c r="D4068" s="4">
        <v>1</v>
      </c>
      <c r="E4068" t="str">
        <f t="shared" si="63"/>
        <v>1220-291726-44774</v>
      </c>
    </row>
    <row r="4069" spans="1:5" ht="14.25" customHeight="1">
      <c r="A4069" s="4">
        <v>1220</v>
      </c>
      <c r="B4069" s="4">
        <v>291726</v>
      </c>
      <c r="C4069" s="17">
        <v>44781</v>
      </c>
      <c r="D4069" s="4">
        <v>8</v>
      </c>
      <c r="E4069" t="str">
        <f t="shared" si="63"/>
        <v>1220-291726-44781</v>
      </c>
    </row>
    <row r="4070" spans="1:5" ht="14.25" customHeight="1">
      <c r="A4070" s="4">
        <v>1220</v>
      </c>
      <c r="B4070" s="4">
        <v>291726</v>
      </c>
      <c r="C4070" s="17">
        <v>44788</v>
      </c>
      <c r="D4070" s="4">
        <v>10</v>
      </c>
      <c r="E4070" t="str">
        <f t="shared" si="63"/>
        <v>1220-291726-44788</v>
      </c>
    </row>
    <row r="4071" spans="1:5" ht="14.25" customHeight="1">
      <c r="A4071" s="4">
        <v>1220</v>
      </c>
      <c r="B4071" s="4">
        <v>291728</v>
      </c>
      <c r="C4071" s="17">
        <v>44739</v>
      </c>
      <c r="D4071" s="4">
        <v>18</v>
      </c>
      <c r="E4071" t="str">
        <f t="shared" si="63"/>
        <v>1220-291728-44739</v>
      </c>
    </row>
    <row r="4072" spans="1:5" ht="14.25" customHeight="1">
      <c r="A4072" s="4">
        <v>1220</v>
      </c>
      <c r="B4072" s="4">
        <v>291728</v>
      </c>
      <c r="C4072" s="17">
        <v>44746</v>
      </c>
      <c r="D4072" s="4">
        <v>22</v>
      </c>
      <c r="E4072" t="str">
        <f t="shared" si="63"/>
        <v>1220-291728-44746</v>
      </c>
    </row>
    <row r="4073" spans="1:5" ht="14.25" customHeight="1">
      <c r="A4073" s="4">
        <v>1220</v>
      </c>
      <c r="B4073" s="4">
        <v>291728</v>
      </c>
      <c r="C4073" s="17">
        <v>44753</v>
      </c>
      <c r="D4073" s="4">
        <v>18</v>
      </c>
      <c r="E4073" t="str">
        <f t="shared" si="63"/>
        <v>1220-291728-44753</v>
      </c>
    </row>
    <row r="4074" spans="1:5" ht="14.25" customHeight="1">
      <c r="A4074" s="4">
        <v>1220</v>
      </c>
      <c r="B4074" s="4">
        <v>291728</v>
      </c>
      <c r="C4074" s="17">
        <v>44760</v>
      </c>
      <c r="D4074" s="4">
        <v>9</v>
      </c>
      <c r="E4074" t="str">
        <f t="shared" si="63"/>
        <v>1220-291728-44760</v>
      </c>
    </row>
    <row r="4075" spans="1:5" ht="14.25" customHeight="1">
      <c r="A4075" s="4">
        <v>1220</v>
      </c>
      <c r="B4075" s="4">
        <v>291728</v>
      </c>
      <c r="C4075" s="17">
        <v>44767</v>
      </c>
      <c r="D4075" s="4">
        <v>24</v>
      </c>
      <c r="E4075" t="str">
        <f t="shared" si="63"/>
        <v>1220-291728-44767</v>
      </c>
    </row>
    <row r="4076" spans="1:5" ht="14.25" customHeight="1">
      <c r="A4076" s="4">
        <v>1220</v>
      </c>
      <c r="B4076" s="4">
        <v>291728</v>
      </c>
      <c r="C4076" s="17">
        <v>44774</v>
      </c>
      <c r="D4076" s="4">
        <v>21</v>
      </c>
      <c r="E4076" t="str">
        <f t="shared" si="63"/>
        <v>1220-291728-44774</v>
      </c>
    </row>
    <row r="4077" spans="1:5" ht="14.25" customHeight="1">
      <c r="A4077" s="4">
        <v>1220</v>
      </c>
      <c r="B4077" s="4">
        <v>291728</v>
      </c>
      <c r="C4077" s="17">
        <v>44781</v>
      </c>
      <c r="D4077" s="4">
        <v>24</v>
      </c>
      <c r="E4077" t="str">
        <f t="shared" si="63"/>
        <v>1220-291728-44781</v>
      </c>
    </row>
    <row r="4078" spans="1:5" ht="14.25" customHeight="1">
      <c r="A4078" s="4">
        <v>1220</v>
      </c>
      <c r="B4078" s="4">
        <v>291728</v>
      </c>
      <c r="C4078" s="17">
        <v>44788</v>
      </c>
      <c r="D4078" s="4">
        <v>6</v>
      </c>
      <c r="E4078" t="str">
        <f t="shared" si="63"/>
        <v>1220-291728-44788</v>
      </c>
    </row>
    <row r="4079" spans="1:5" ht="14.25" customHeight="1">
      <c r="A4079" s="4">
        <v>1220</v>
      </c>
      <c r="B4079" s="4">
        <v>300380</v>
      </c>
      <c r="C4079" s="17">
        <v>44739</v>
      </c>
      <c r="D4079" s="4">
        <v>60</v>
      </c>
      <c r="E4079" t="str">
        <f t="shared" si="63"/>
        <v>1220-300380-44739</v>
      </c>
    </row>
    <row r="4080" spans="1:5" ht="14.25" customHeight="1">
      <c r="A4080" s="4">
        <v>1220</v>
      </c>
      <c r="B4080" s="4">
        <v>300380</v>
      </c>
      <c r="C4080" s="17">
        <v>44746</v>
      </c>
      <c r="D4080" s="4">
        <v>55</v>
      </c>
      <c r="E4080" t="str">
        <f t="shared" si="63"/>
        <v>1220-300380-44746</v>
      </c>
    </row>
    <row r="4081" spans="1:5" ht="14.25" customHeight="1">
      <c r="A4081" s="4">
        <v>1220</v>
      </c>
      <c r="B4081" s="4">
        <v>300380</v>
      </c>
      <c r="C4081" s="17">
        <v>44753</v>
      </c>
      <c r="D4081" s="4">
        <v>56</v>
      </c>
      <c r="E4081" t="str">
        <f t="shared" si="63"/>
        <v>1220-300380-44753</v>
      </c>
    </row>
    <row r="4082" spans="1:5" ht="14.25" customHeight="1">
      <c r="A4082" s="4">
        <v>1220</v>
      </c>
      <c r="B4082" s="4">
        <v>300380</v>
      </c>
      <c r="C4082" s="17">
        <v>44760</v>
      </c>
      <c r="D4082" s="4">
        <v>17</v>
      </c>
      <c r="E4082" t="str">
        <f t="shared" si="63"/>
        <v>1220-300380-44760</v>
      </c>
    </row>
    <row r="4083" spans="1:5" ht="14.25" customHeight="1">
      <c r="A4083" s="4">
        <v>1220</v>
      </c>
      <c r="B4083" s="4">
        <v>300380</v>
      </c>
      <c r="C4083" s="17">
        <v>44767</v>
      </c>
      <c r="D4083" s="4">
        <v>39</v>
      </c>
      <c r="E4083" t="str">
        <f t="shared" si="63"/>
        <v>1220-300380-44767</v>
      </c>
    </row>
    <row r="4084" spans="1:5" ht="14.25" customHeight="1">
      <c r="A4084" s="4">
        <v>1220</v>
      </c>
      <c r="B4084" s="4">
        <v>300380</v>
      </c>
      <c r="C4084" s="17">
        <v>44774</v>
      </c>
      <c r="D4084" s="4">
        <v>52</v>
      </c>
      <c r="E4084" t="str">
        <f t="shared" si="63"/>
        <v>1220-300380-44774</v>
      </c>
    </row>
    <row r="4085" spans="1:5" ht="14.25" customHeight="1">
      <c r="A4085" s="4">
        <v>1220</v>
      </c>
      <c r="B4085" s="4">
        <v>300380</v>
      </c>
      <c r="C4085" s="17">
        <v>44781</v>
      </c>
      <c r="D4085" s="4">
        <v>50</v>
      </c>
      <c r="E4085" t="str">
        <f t="shared" si="63"/>
        <v>1220-300380-44781</v>
      </c>
    </row>
    <row r="4086" spans="1:5" ht="14.25" customHeight="1">
      <c r="A4086" s="4">
        <v>1220</v>
      </c>
      <c r="B4086" s="4">
        <v>300380</v>
      </c>
      <c r="C4086" s="17">
        <v>44788</v>
      </c>
      <c r="D4086" s="4">
        <v>61</v>
      </c>
      <c r="E4086" t="str">
        <f t="shared" si="63"/>
        <v>1220-300380-44788</v>
      </c>
    </row>
    <row r="4087" spans="1:5" ht="14.25" customHeight="1">
      <c r="A4087" s="4">
        <v>1220</v>
      </c>
      <c r="B4087" s="4">
        <v>571521</v>
      </c>
      <c r="C4087" s="17">
        <v>44739</v>
      </c>
      <c r="D4087" s="4">
        <v>84</v>
      </c>
      <c r="E4087" t="str">
        <f t="shared" si="63"/>
        <v>1220-571521-44739</v>
      </c>
    </row>
    <row r="4088" spans="1:5" ht="14.25" customHeight="1">
      <c r="A4088" s="4">
        <v>1220</v>
      </c>
      <c r="B4088" s="4">
        <v>571521</v>
      </c>
      <c r="C4088" s="17">
        <v>44746</v>
      </c>
      <c r="D4088" s="4">
        <v>91</v>
      </c>
      <c r="E4088" t="str">
        <f t="shared" si="63"/>
        <v>1220-571521-44746</v>
      </c>
    </row>
    <row r="4089" spans="1:5" ht="14.25" customHeight="1">
      <c r="A4089" s="4">
        <v>1220</v>
      </c>
      <c r="B4089" s="4">
        <v>571521</v>
      </c>
      <c r="C4089" s="17">
        <v>44753</v>
      </c>
      <c r="D4089" s="4">
        <v>119</v>
      </c>
      <c r="E4089" t="str">
        <f t="shared" si="63"/>
        <v>1220-571521-44753</v>
      </c>
    </row>
    <row r="4090" spans="1:5" ht="14.25" customHeight="1">
      <c r="A4090" s="4">
        <v>1220</v>
      </c>
      <c r="B4090" s="4">
        <v>571521</v>
      </c>
      <c r="C4090" s="17">
        <v>44760</v>
      </c>
      <c r="D4090" s="4">
        <v>88</v>
      </c>
      <c r="E4090" t="str">
        <f t="shared" si="63"/>
        <v>1220-571521-44760</v>
      </c>
    </row>
    <row r="4091" spans="1:5" ht="14.25" customHeight="1">
      <c r="A4091" s="4">
        <v>1220</v>
      </c>
      <c r="B4091" s="4">
        <v>571521</v>
      </c>
      <c r="C4091" s="17">
        <v>44767</v>
      </c>
      <c r="D4091" s="4">
        <v>30</v>
      </c>
      <c r="E4091" t="str">
        <f t="shared" si="63"/>
        <v>1220-571521-44767</v>
      </c>
    </row>
    <row r="4092" spans="1:5" ht="14.25" customHeight="1">
      <c r="A4092" s="4">
        <v>1220</v>
      </c>
      <c r="B4092" s="4">
        <v>571521</v>
      </c>
      <c r="C4092" s="17">
        <v>44774</v>
      </c>
      <c r="D4092" s="4">
        <v>31</v>
      </c>
      <c r="E4092" t="str">
        <f t="shared" si="63"/>
        <v>1220-571521-44774</v>
      </c>
    </row>
    <row r="4093" spans="1:5" ht="14.25" customHeight="1">
      <c r="A4093" s="4">
        <v>1220</v>
      </c>
      <c r="B4093" s="4">
        <v>571521</v>
      </c>
      <c r="C4093" s="17">
        <v>44781</v>
      </c>
      <c r="D4093" s="4">
        <v>91</v>
      </c>
      <c r="E4093" t="str">
        <f t="shared" si="63"/>
        <v>1220-571521-44781</v>
      </c>
    </row>
    <row r="4094" spans="1:5" ht="14.25" customHeight="1">
      <c r="A4094" s="4">
        <v>1220</v>
      </c>
      <c r="B4094" s="4">
        <v>571521</v>
      </c>
      <c r="C4094" s="17">
        <v>44788</v>
      </c>
      <c r="D4094" s="4">
        <v>27</v>
      </c>
      <c r="E4094" t="str">
        <f t="shared" si="63"/>
        <v>1220-571521-44788</v>
      </c>
    </row>
    <row r="4095" spans="1:5" ht="14.25" customHeight="1">
      <c r="A4095" s="4">
        <v>1220</v>
      </c>
      <c r="B4095" s="4">
        <v>614993</v>
      </c>
      <c r="C4095" s="17">
        <v>44739</v>
      </c>
      <c r="D4095" s="4">
        <v>3</v>
      </c>
      <c r="E4095" t="str">
        <f t="shared" si="63"/>
        <v>1220-614993-44739</v>
      </c>
    </row>
    <row r="4096" spans="1:5" ht="14.25" customHeight="1">
      <c r="A4096" s="4">
        <v>1220</v>
      </c>
      <c r="B4096" s="4">
        <v>614993</v>
      </c>
      <c r="C4096" s="17">
        <v>44746</v>
      </c>
      <c r="D4096" s="4">
        <v>4</v>
      </c>
      <c r="E4096" t="str">
        <f t="shared" si="63"/>
        <v>1220-614993-44746</v>
      </c>
    </row>
    <row r="4097" spans="1:5" ht="14.25" customHeight="1">
      <c r="A4097" s="4">
        <v>1220</v>
      </c>
      <c r="B4097" s="4">
        <v>614993</v>
      </c>
      <c r="C4097" s="17">
        <v>44753</v>
      </c>
      <c r="D4097" s="4">
        <v>4</v>
      </c>
      <c r="E4097" t="str">
        <f t="shared" si="63"/>
        <v>1220-614993-44753</v>
      </c>
    </row>
    <row r="4098" spans="1:5" ht="14.25" customHeight="1">
      <c r="A4098" s="4">
        <v>1220</v>
      </c>
      <c r="B4098" s="4">
        <v>614993</v>
      </c>
      <c r="C4098" s="17">
        <v>44760</v>
      </c>
      <c r="D4098" s="4">
        <v>3</v>
      </c>
      <c r="E4098" t="str">
        <f t="shared" si="63"/>
        <v>1220-614993-44760</v>
      </c>
    </row>
    <row r="4099" spans="1:5" ht="14.25" customHeight="1">
      <c r="A4099" s="4">
        <v>1220</v>
      </c>
      <c r="B4099" s="4">
        <v>614993</v>
      </c>
      <c r="C4099" s="17">
        <v>44767</v>
      </c>
      <c r="D4099" s="4">
        <v>-1</v>
      </c>
      <c r="E4099" t="str">
        <f>A4099&amp;"-"&amp;B4099&amp;"-"&amp;INT(C4099)</f>
        <v>1220-614993-44767</v>
      </c>
    </row>
    <row r="4100" spans="1:5" ht="14.25" customHeight="1">
      <c r="A4100" s="4">
        <v>1220</v>
      </c>
      <c r="B4100" s="4">
        <v>614993</v>
      </c>
      <c r="C4100" s="17">
        <v>44774</v>
      </c>
      <c r="D4100" s="4">
        <v>6</v>
      </c>
      <c r="E4100" t="str">
        <f>A4100&amp;"-"&amp;B4100&amp;"-"&amp;INT(C4100)</f>
        <v>1220-614993-44774</v>
      </c>
    </row>
    <row r="4101" spans="1:5" ht="14.25" customHeight="1">
      <c r="A4101" s="4">
        <v>1220</v>
      </c>
      <c r="B4101" s="4">
        <v>614993</v>
      </c>
      <c r="C4101" s="17">
        <v>44781</v>
      </c>
      <c r="D4101" s="4">
        <v>4</v>
      </c>
      <c r="E4101" t="str">
        <f>A4101&amp;"-"&amp;B4101&amp;"-"&amp;INT(C4101)</f>
        <v>1220-614993-44781</v>
      </c>
    </row>
    <row r="4102" spans="1:5" ht="14.25" customHeight="1">
      <c r="A4102" s="4">
        <v>1220</v>
      </c>
      <c r="B4102" s="4">
        <v>614993</v>
      </c>
      <c r="C4102" s="17">
        <v>44788</v>
      </c>
      <c r="D4102" s="4">
        <v>6</v>
      </c>
      <c r="E4102" t="str">
        <f>A4102&amp;"-"&amp;B4102&amp;"-"&amp;INT(C4102)</f>
        <v>1220-614993-44788</v>
      </c>
    </row>
  </sheetData>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E1000"/>
  <sheetViews>
    <sheetView workbookViewId="0">
      <selection activeCell="B3" sqref="B3"/>
    </sheetView>
  </sheetViews>
  <sheetFormatPr baseColWidth="10" defaultColWidth="14.44140625" defaultRowHeight="15" customHeight="1"/>
  <cols>
    <col min="1" max="2" width="8.6640625" customWidth="1"/>
    <col min="3" max="3" width="25" customWidth="1"/>
    <col min="4" max="4" width="18.77734375" customWidth="1"/>
    <col min="5" max="26" width="8.6640625" customWidth="1"/>
  </cols>
  <sheetData>
    <row r="1" spans="1:5" ht="14.25" customHeight="1">
      <c r="A1" s="18" t="s">
        <v>38</v>
      </c>
      <c r="B1" s="18" t="s">
        <v>0</v>
      </c>
      <c r="C1" s="18" t="s">
        <v>60</v>
      </c>
      <c r="D1" s="18" t="s">
        <v>61</v>
      </c>
      <c r="E1" s="56" t="s">
        <v>92</v>
      </c>
    </row>
    <row r="2" spans="1:5" ht="14.25" customHeight="1">
      <c r="A2" s="19">
        <v>1218</v>
      </c>
      <c r="B2" s="19">
        <v>78869</v>
      </c>
      <c r="C2" s="20">
        <v>44753</v>
      </c>
      <c r="D2" s="19">
        <v>35</v>
      </c>
      <c r="E2" t="str">
        <f>A2&amp;"-"&amp;B2&amp;"-"&amp;INT(C2)</f>
        <v>1218-78869-44753</v>
      </c>
    </row>
    <row r="3" spans="1:5" ht="14.25" customHeight="1">
      <c r="A3" s="21">
        <v>1213</v>
      </c>
      <c r="B3" s="21">
        <v>78869</v>
      </c>
      <c r="C3" s="22">
        <v>44753</v>
      </c>
      <c r="D3" s="21">
        <v>18</v>
      </c>
      <c r="E3" t="str">
        <f t="shared" ref="E3:E66" si="0">A3&amp;"-"&amp;B3&amp;"-"&amp;INT(C3)</f>
        <v>1213-78869-44753</v>
      </c>
    </row>
    <row r="4" spans="1:5" ht="14.25" customHeight="1">
      <c r="A4" s="21">
        <v>1212</v>
      </c>
      <c r="B4" s="21">
        <v>78869</v>
      </c>
      <c r="C4" s="22">
        <v>44753</v>
      </c>
      <c r="D4" s="21">
        <v>11</v>
      </c>
      <c r="E4" t="str">
        <f t="shared" si="0"/>
        <v>1212-78869-44753</v>
      </c>
    </row>
    <row r="5" spans="1:5" ht="14.25" customHeight="1">
      <c r="A5" s="21">
        <v>1211</v>
      </c>
      <c r="B5" s="21">
        <v>78869</v>
      </c>
      <c r="C5" s="22">
        <v>44753</v>
      </c>
      <c r="D5" s="21">
        <v>28</v>
      </c>
      <c r="E5" t="str">
        <f t="shared" si="0"/>
        <v>1211-78869-44753</v>
      </c>
    </row>
    <row r="6" spans="1:5" ht="14.25" customHeight="1">
      <c r="A6" s="21">
        <v>1208</v>
      </c>
      <c r="B6" s="21">
        <v>78869</v>
      </c>
      <c r="C6" s="22">
        <v>44753</v>
      </c>
      <c r="D6" s="21">
        <v>7</v>
      </c>
      <c r="E6" t="str">
        <f t="shared" si="0"/>
        <v>1208-78869-44753</v>
      </c>
    </row>
    <row r="7" spans="1:5" ht="14.25" customHeight="1">
      <c r="A7" s="21">
        <v>1206</v>
      </c>
      <c r="B7" s="21">
        <v>78869</v>
      </c>
      <c r="C7" s="22">
        <v>44753</v>
      </c>
      <c r="D7" s="21">
        <v>7</v>
      </c>
      <c r="E7" t="str">
        <f t="shared" si="0"/>
        <v>1206-78869-44753</v>
      </c>
    </row>
    <row r="8" spans="1:5" ht="14.25" customHeight="1">
      <c r="A8" s="21">
        <v>1220</v>
      </c>
      <c r="B8" s="21">
        <v>78869</v>
      </c>
      <c r="C8" s="22">
        <v>44746</v>
      </c>
      <c r="D8" s="21">
        <v>25</v>
      </c>
      <c r="E8" t="str">
        <f t="shared" si="0"/>
        <v>1220-78869-44746</v>
      </c>
    </row>
    <row r="9" spans="1:5" ht="14.25" customHeight="1">
      <c r="A9" s="21">
        <v>1216</v>
      </c>
      <c r="B9" s="21">
        <v>78869</v>
      </c>
      <c r="C9" s="22">
        <v>44746</v>
      </c>
      <c r="D9" s="21">
        <v>17</v>
      </c>
      <c r="E9" t="str">
        <f t="shared" si="0"/>
        <v>1216-78869-44746</v>
      </c>
    </row>
    <row r="10" spans="1:5" ht="14.25" customHeight="1">
      <c r="A10" s="21">
        <v>1214</v>
      </c>
      <c r="B10" s="21">
        <v>78869</v>
      </c>
      <c r="C10" s="22">
        <v>44746</v>
      </c>
      <c r="D10" s="21">
        <v>18</v>
      </c>
      <c r="E10" t="str">
        <f t="shared" si="0"/>
        <v>1214-78869-44746</v>
      </c>
    </row>
    <row r="11" spans="1:5" ht="14.25" customHeight="1">
      <c r="A11" s="21">
        <v>1210</v>
      </c>
      <c r="B11" s="21">
        <v>78869</v>
      </c>
      <c r="C11" s="22">
        <v>44746</v>
      </c>
      <c r="D11" s="21">
        <v>35</v>
      </c>
      <c r="E11" t="str">
        <f t="shared" si="0"/>
        <v>1210-78869-44746</v>
      </c>
    </row>
    <row r="12" spans="1:5" ht="14.25" customHeight="1">
      <c r="A12" s="21">
        <v>1203</v>
      </c>
      <c r="B12" s="21">
        <v>78869</v>
      </c>
      <c r="C12" s="22">
        <v>44746</v>
      </c>
      <c r="D12" s="21">
        <v>16</v>
      </c>
      <c r="E12" t="str">
        <f t="shared" si="0"/>
        <v>1203-78869-44746</v>
      </c>
    </row>
    <row r="13" spans="1:5" ht="14.25" customHeight="1">
      <c r="A13" s="21">
        <v>1201</v>
      </c>
      <c r="B13" s="21">
        <v>78869</v>
      </c>
      <c r="C13" s="22">
        <v>44746</v>
      </c>
      <c r="D13" s="21">
        <v>17</v>
      </c>
      <c r="E13" t="str">
        <f t="shared" si="0"/>
        <v>1201-78869-44746</v>
      </c>
    </row>
    <row r="14" spans="1:5" ht="14.25" customHeight="1">
      <c r="A14" s="21">
        <v>1207</v>
      </c>
      <c r="B14" s="21">
        <v>78869</v>
      </c>
      <c r="C14" s="22">
        <v>44739</v>
      </c>
      <c r="D14" s="21">
        <v>10</v>
      </c>
      <c r="E14" t="str">
        <f t="shared" si="0"/>
        <v>1207-78869-44739</v>
      </c>
    </row>
    <row r="15" spans="1:5" ht="14.25" customHeight="1">
      <c r="A15" s="21">
        <v>1204</v>
      </c>
      <c r="B15" s="21">
        <v>78869</v>
      </c>
      <c r="C15" s="22">
        <v>44739</v>
      </c>
      <c r="D15" s="21">
        <v>30</v>
      </c>
      <c r="E15" t="str">
        <f t="shared" si="0"/>
        <v>1204-78869-44739</v>
      </c>
    </row>
    <row r="16" spans="1:5" ht="14.25" customHeight="1">
      <c r="A16" s="21">
        <v>1202</v>
      </c>
      <c r="B16" s="21">
        <v>78869</v>
      </c>
      <c r="C16" s="22">
        <v>44739</v>
      </c>
      <c r="D16" s="21">
        <v>13</v>
      </c>
      <c r="E16" t="str">
        <f t="shared" si="0"/>
        <v>1202-78869-44739</v>
      </c>
    </row>
    <row r="17" spans="1:5" ht="14.25" customHeight="1">
      <c r="A17" s="21">
        <v>1219</v>
      </c>
      <c r="B17" s="21">
        <v>78699</v>
      </c>
      <c r="C17" s="22">
        <v>44753</v>
      </c>
      <c r="D17" s="21">
        <v>27</v>
      </c>
      <c r="E17" t="str">
        <f t="shared" si="0"/>
        <v>1219-78699-44753</v>
      </c>
    </row>
    <row r="18" spans="1:5" ht="14.25" customHeight="1">
      <c r="A18" s="21">
        <v>1214</v>
      </c>
      <c r="B18" s="21">
        <v>78699</v>
      </c>
      <c r="C18" s="22">
        <v>44753</v>
      </c>
      <c r="D18" s="21">
        <v>32</v>
      </c>
      <c r="E18" t="str">
        <f t="shared" si="0"/>
        <v>1214-78699-44753</v>
      </c>
    </row>
    <row r="19" spans="1:5" ht="14.25" customHeight="1">
      <c r="A19" s="21">
        <v>1212</v>
      </c>
      <c r="B19" s="21">
        <v>78699</v>
      </c>
      <c r="C19" s="22">
        <v>44753</v>
      </c>
      <c r="D19" s="21">
        <v>21</v>
      </c>
      <c r="E19" t="str">
        <f t="shared" si="0"/>
        <v>1212-78699-44753</v>
      </c>
    </row>
    <row r="20" spans="1:5" ht="14.25" customHeight="1">
      <c r="A20" s="21">
        <v>1204</v>
      </c>
      <c r="B20" s="21">
        <v>78699</v>
      </c>
      <c r="C20" s="22">
        <v>44753</v>
      </c>
      <c r="D20" s="21">
        <v>33</v>
      </c>
      <c r="E20" t="str">
        <f t="shared" si="0"/>
        <v>1204-78699-44753</v>
      </c>
    </row>
    <row r="21" spans="1:5" ht="14.25" customHeight="1">
      <c r="A21" s="21">
        <v>1220</v>
      </c>
      <c r="B21" s="21">
        <v>78699</v>
      </c>
      <c r="C21" s="22">
        <v>44746</v>
      </c>
      <c r="D21" s="21">
        <v>25</v>
      </c>
      <c r="E21" t="str">
        <f t="shared" si="0"/>
        <v>1220-78699-44746</v>
      </c>
    </row>
    <row r="22" spans="1:5" ht="14.25" customHeight="1">
      <c r="A22" s="21">
        <v>1213</v>
      </c>
      <c r="B22" s="21">
        <v>78699</v>
      </c>
      <c r="C22" s="22">
        <v>44746</v>
      </c>
      <c r="D22" s="21">
        <v>33</v>
      </c>
      <c r="E22" t="str">
        <f t="shared" si="0"/>
        <v>1213-78699-44746</v>
      </c>
    </row>
    <row r="23" spans="1:5" ht="14.25" customHeight="1">
      <c r="A23" s="21">
        <v>1205</v>
      </c>
      <c r="B23" s="21">
        <v>78699</v>
      </c>
      <c r="C23" s="22">
        <v>44746</v>
      </c>
      <c r="D23" s="21">
        <v>20</v>
      </c>
      <c r="E23" t="str">
        <f t="shared" si="0"/>
        <v>1205-78699-44746</v>
      </c>
    </row>
    <row r="24" spans="1:5" ht="14.25" customHeight="1">
      <c r="A24" s="21">
        <v>1218</v>
      </c>
      <c r="B24" s="21">
        <v>78699</v>
      </c>
      <c r="C24" s="22">
        <v>44739</v>
      </c>
      <c r="D24" s="21">
        <v>19</v>
      </c>
      <c r="E24" t="str">
        <f t="shared" si="0"/>
        <v>1218-78699-44739</v>
      </c>
    </row>
    <row r="25" spans="1:5" ht="14.25" customHeight="1">
      <c r="A25" s="21">
        <v>1210</v>
      </c>
      <c r="B25" s="21">
        <v>78699</v>
      </c>
      <c r="C25" s="22">
        <v>44739</v>
      </c>
      <c r="D25" s="21">
        <v>40</v>
      </c>
      <c r="E25" t="str">
        <f t="shared" si="0"/>
        <v>1210-78699-44739</v>
      </c>
    </row>
    <row r="26" spans="1:5" ht="14.25" customHeight="1">
      <c r="A26" s="21">
        <v>1206</v>
      </c>
      <c r="B26" s="21">
        <v>78699</v>
      </c>
      <c r="C26" s="22">
        <v>44739</v>
      </c>
      <c r="D26" s="21">
        <v>34</v>
      </c>
      <c r="E26" t="str">
        <f t="shared" si="0"/>
        <v>1206-78699-44739</v>
      </c>
    </row>
    <row r="27" spans="1:5" ht="14.25" customHeight="1">
      <c r="A27" s="21">
        <v>1203</v>
      </c>
      <c r="B27" s="21">
        <v>78699</v>
      </c>
      <c r="C27" s="22">
        <v>44739</v>
      </c>
      <c r="D27" s="21">
        <v>33</v>
      </c>
      <c r="E27" t="str">
        <f t="shared" si="0"/>
        <v>1203-78699-44739</v>
      </c>
    </row>
    <row r="28" spans="1:5" ht="14.25" customHeight="1">
      <c r="A28" s="21">
        <v>1202</v>
      </c>
      <c r="B28" s="21">
        <v>78699</v>
      </c>
      <c r="C28" s="22">
        <v>44739</v>
      </c>
      <c r="D28" s="21">
        <v>20</v>
      </c>
      <c r="E28" t="str">
        <f t="shared" si="0"/>
        <v>1202-78699-44739</v>
      </c>
    </row>
    <row r="29" spans="1:5" ht="14.25" customHeight="1">
      <c r="A29" s="21">
        <v>1201</v>
      </c>
      <c r="B29" s="21">
        <v>78699</v>
      </c>
      <c r="C29" s="22">
        <v>44739</v>
      </c>
      <c r="D29" s="21">
        <v>34</v>
      </c>
      <c r="E29" t="str">
        <f t="shared" si="0"/>
        <v>1201-78699-44739</v>
      </c>
    </row>
    <row r="30" spans="1:5" ht="14.25" customHeight="1">
      <c r="A30" s="21">
        <v>1220</v>
      </c>
      <c r="B30" s="21">
        <v>614993</v>
      </c>
      <c r="C30" s="22">
        <v>44753</v>
      </c>
      <c r="D30" s="21">
        <v>28</v>
      </c>
      <c r="E30" t="str">
        <f t="shared" si="0"/>
        <v>1220-614993-44753</v>
      </c>
    </row>
    <row r="31" spans="1:5" ht="14.25" customHeight="1">
      <c r="A31" s="21">
        <v>1206</v>
      </c>
      <c r="B31" s="21">
        <v>614993</v>
      </c>
      <c r="C31" s="22">
        <v>44753</v>
      </c>
      <c r="D31" s="21">
        <v>25</v>
      </c>
      <c r="E31" t="str">
        <f t="shared" si="0"/>
        <v>1206-614993-44753</v>
      </c>
    </row>
    <row r="32" spans="1:5" ht="14.25" customHeight="1">
      <c r="A32" s="21">
        <v>1216</v>
      </c>
      <c r="B32" s="21">
        <v>614993</v>
      </c>
      <c r="C32" s="22">
        <v>44746</v>
      </c>
      <c r="D32" s="21">
        <v>13</v>
      </c>
      <c r="E32" t="str">
        <f t="shared" si="0"/>
        <v>1216-614993-44746</v>
      </c>
    </row>
    <row r="33" spans="1:5" ht="14.25" customHeight="1">
      <c r="A33" s="21">
        <v>1211</v>
      </c>
      <c r="B33" s="21">
        <v>614993</v>
      </c>
      <c r="C33" s="22">
        <v>44746</v>
      </c>
      <c r="D33" s="21">
        <v>36</v>
      </c>
      <c r="E33" t="str">
        <f t="shared" si="0"/>
        <v>1211-614993-44746</v>
      </c>
    </row>
    <row r="34" spans="1:5" ht="14.25" customHeight="1">
      <c r="A34" s="21">
        <v>1210</v>
      </c>
      <c r="B34" s="21">
        <v>614993</v>
      </c>
      <c r="C34" s="22">
        <v>44746</v>
      </c>
      <c r="D34" s="21">
        <v>32</v>
      </c>
      <c r="E34" t="str">
        <f t="shared" si="0"/>
        <v>1210-614993-44746</v>
      </c>
    </row>
    <row r="35" spans="1:5" ht="14.25" customHeight="1">
      <c r="A35" s="21">
        <v>1207</v>
      </c>
      <c r="B35" s="21">
        <v>614993</v>
      </c>
      <c r="C35" s="22">
        <v>44746</v>
      </c>
      <c r="D35" s="21">
        <v>22</v>
      </c>
      <c r="E35" t="str">
        <f t="shared" si="0"/>
        <v>1207-614993-44746</v>
      </c>
    </row>
    <row r="36" spans="1:5" ht="14.25" customHeight="1">
      <c r="A36" s="21">
        <v>1205</v>
      </c>
      <c r="B36" s="21">
        <v>614993</v>
      </c>
      <c r="C36" s="22">
        <v>44746</v>
      </c>
      <c r="D36" s="21">
        <v>29</v>
      </c>
      <c r="E36" t="str">
        <f t="shared" si="0"/>
        <v>1205-614993-44746</v>
      </c>
    </row>
    <row r="37" spans="1:5" ht="14.25" customHeight="1">
      <c r="A37" s="21">
        <v>1202</v>
      </c>
      <c r="B37" s="21">
        <v>614993</v>
      </c>
      <c r="C37" s="22">
        <v>44746</v>
      </c>
      <c r="D37" s="21">
        <v>28</v>
      </c>
      <c r="E37" t="str">
        <f t="shared" si="0"/>
        <v>1202-614993-44746</v>
      </c>
    </row>
    <row r="38" spans="1:5" ht="14.25" customHeight="1">
      <c r="A38" s="21">
        <v>1219</v>
      </c>
      <c r="B38" s="21">
        <v>614993</v>
      </c>
      <c r="C38" s="22">
        <v>44739</v>
      </c>
      <c r="D38" s="21">
        <v>37</v>
      </c>
      <c r="E38" t="str">
        <f t="shared" si="0"/>
        <v>1219-614993-44739</v>
      </c>
    </row>
    <row r="39" spans="1:5" ht="14.25" customHeight="1">
      <c r="A39" s="21">
        <v>1218</v>
      </c>
      <c r="B39" s="21">
        <v>614993</v>
      </c>
      <c r="C39" s="22">
        <v>44739</v>
      </c>
      <c r="D39" s="21">
        <v>25</v>
      </c>
      <c r="E39" t="str">
        <f t="shared" si="0"/>
        <v>1218-614993-44739</v>
      </c>
    </row>
    <row r="40" spans="1:5" ht="14.25" customHeight="1">
      <c r="A40" s="21">
        <v>1214</v>
      </c>
      <c r="B40" s="21">
        <v>614993</v>
      </c>
      <c r="C40" s="22">
        <v>44739</v>
      </c>
      <c r="D40" s="21">
        <v>33</v>
      </c>
      <c r="E40" t="str">
        <f t="shared" si="0"/>
        <v>1214-614993-44739</v>
      </c>
    </row>
    <row r="41" spans="1:5" ht="14.25" customHeight="1">
      <c r="A41" s="21">
        <v>1213</v>
      </c>
      <c r="B41" s="21">
        <v>614993</v>
      </c>
      <c r="C41" s="22">
        <v>44739</v>
      </c>
      <c r="D41" s="21">
        <v>16</v>
      </c>
      <c r="E41" t="str">
        <f t="shared" si="0"/>
        <v>1213-614993-44739</v>
      </c>
    </row>
    <row r="42" spans="1:5" ht="14.25" customHeight="1">
      <c r="A42" s="21">
        <v>1201</v>
      </c>
      <c r="B42" s="21">
        <v>614993</v>
      </c>
      <c r="C42" s="22">
        <v>44739</v>
      </c>
      <c r="D42" s="21">
        <v>30</v>
      </c>
      <c r="E42" t="str">
        <f t="shared" si="0"/>
        <v>1201-614993-44739</v>
      </c>
    </row>
    <row r="43" spans="1:5" ht="14.25" customHeight="1">
      <c r="A43" s="21">
        <v>1214</v>
      </c>
      <c r="B43" s="21">
        <v>571521</v>
      </c>
      <c r="C43" s="22">
        <v>44753</v>
      </c>
      <c r="D43" s="21">
        <v>9</v>
      </c>
      <c r="E43" t="str">
        <f t="shared" si="0"/>
        <v>1214-571521-44753</v>
      </c>
    </row>
    <row r="44" spans="1:5" ht="14.25" customHeight="1">
      <c r="A44" s="21">
        <v>1210</v>
      </c>
      <c r="B44" s="21">
        <v>571521</v>
      </c>
      <c r="C44" s="22">
        <v>44753</v>
      </c>
      <c r="D44" s="21">
        <v>23</v>
      </c>
      <c r="E44" t="str">
        <f t="shared" si="0"/>
        <v>1210-571521-44753</v>
      </c>
    </row>
    <row r="45" spans="1:5" ht="14.25" customHeight="1">
      <c r="A45" s="21">
        <v>1209</v>
      </c>
      <c r="B45" s="21">
        <v>571521</v>
      </c>
      <c r="C45" s="22">
        <v>44753</v>
      </c>
      <c r="D45" s="21">
        <v>21</v>
      </c>
      <c r="E45" t="str">
        <f t="shared" si="0"/>
        <v>1209-571521-44753</v>
      </c>
    </row>
    <row r="46" spans="1:5" ht="14.25" customHeight="1">
      <c r="A46" s="21">
        <v>1207</v>
      </c>
      <c r="B46" s="21">
        <v>571521</v>
      </c>
      <c r="C46" s="22">
        <v>44753</v>
      </c>
      <c r="D46" s="21">
        <v>16</v>
      </c>
      <c r="E46" t="str">
        <f t="shared" si="0"/>
        <v>1207-571521-44753</v>
      </c>
    </row>
    <row r="47" spans="1:5" ht="14.25" customHeight="1">
      <c r="A47" s="21">
        <v>1213</v>
      </c>
      <c r="B47" s="21">
        <v>571521</v>
      </c>
      <c r="C47" s="22">
        <v>44746</v>
      </c>
      <c r="D47" s="21">
        <v>32</v>
      </c>
      <c r="E47" t="str">
        <f t="shared" si="0"/>
        <v>1213-571521-44746</v>
      </c>
    </row>
    <row r="48" spans="1:5" ht="14.25" customHeight="1">
      <c r="A48" s="21">
        <v>1205</v>
      </c>
      <c r="B48" s="21">
        <v>571521</v>
      </c>
      <c r="C48" s="22">
        <v>44746</v>
      </c>
      <c r="D48" s="21">
        <v>37</v>
      </c>
      <c r="E48" t="str">
        <f t="shared" si="0"/>
        <v>1205-571521-44746</v>
      </c>
    </row>
    <row r="49" spans="1:5" ht="14.25" customHeight="1">
      <c r="A49" s="21">
        <v>1202</v>
      </c>
      <c r="B49" s="21">
        <v>571521</v>
      </c>
      <c r="C49" s="22">
        <v>44746</v>
      </c>
      <c r="D49" s="21">
        <v>9</v>
      </c>
      <c r="E49" t="str">
        <f t="shared" si="0"/>
        <v>1202-571521-44746</v>
      </c>
    </row>
    <row r="50" spans="1:5" ht="14.25" customHeight="1">
      <c r="A50" s="21">
        <v>1219</v>
      </c>
      <c r="B50" s="21">
        <v>571521</v>
      </c>
      <c r="C50" s="22">
        <v>44739</v>
      </c>
      <c r="D50" s="21">
        <v>23</v>
      </c>
      <c r="E50" t="str">
        <f t="shared" si="0"/>
        <v>1219-571521-44739</v>
      </c>
    </row>
    <row r="51" spans="1:5" ht="14.25" customHeight="1">
      <c r="A51" s="21">
        <v>1211</v>
      </c>
      <c r="B51" s="21">
        <v>571521</v>
      </c>
      <c r="C51" s="22">
        <v>44739</v>
      </c>
      <c r="D51" s="21">
        <v>29</v>
      </c>
      <c r="E51" t="str">
        <f t="shared" si="0"/>
        <v>1211-571521-44739</v>
      </c>
    </row>
    <row r="52" spans="1:5" ht="14.25" customHeight="1">
      <c r="A52" s="21">
        <v>1204</v>
      </c>
      <c r="B52" s="21">
        <v>571521</v>
      </c>
      <c r="C52" s="22">
        <v>44739</v>
      </c>
      <c r="D52" s="21">
        <v>17</v>
      </c>
      <c r="E52" t="str">
        <f t="shared" si="0"/>
        <v>1204-571521-44739</v>
      </c>
    </row>
    <row r="53" spans="1:5" ht="14.25" customHeight="1">
      <c r="A53" s="21">
        <v>1203</v>
      </c>
      <c r="B53" s="21">
        <v>571521</v>
      </c>
      <c r="C53" s="22">
        <v>44739</v>
      </c>
      <c r="D53" s="21">
        <v>38</v>
      </c>
      <c r="E53" t="str">
        <f t="shared" si="0"/>
        <v>1203-571521-44739</v>
      </c>
    </row>
    <row r="54" spans="1:5" ht="14.25" customHeight="1">
      <c r="A54" s="21">
        <v>1213</v>
      </c>
      <c r="B54" s="21">
        <v>53934</v>
      </c>
      <c r="C54" s="22">
        <v>44753</v>
      </c>
      <c r="D54" s="21">
        <v>34</v>
      </c>
      <c r="E54" t="str">
        <f t="shared" si="0"/>
        <v>1213-53934-44753</v>
      </c>
    </row>
    <row r="55" spans="1:5" ht="14.25" customHeight="1">
      <c r="A55" s="21">
        <v>1205</v>
      </c>
      <c r="B55" s="21">
        <v>53934</v>
      </c>
      <c r="C55" s="22">
        <v>44753</v>
      </c>
      <c r="D55" s="21">
        <v>33</v>
      </c>
      <c r="E55" t="str">
        <f t="shared" si="0"/>
        <v>1205-53934-44753</v>
      </c>
    </row>
    <row r="56" spans="1:5" ht="14.25" customHeight="1">
      <c r="A56" s="21">
        <v>1218</v>
      </c>
      <c r="B56" s="21">
        <v>53934</v>
      </c>
      <c r="C56" s="22">
        <v>44746</v>
      </c>
      <c r="D56" s="21">
        <v>40</v>
      </c>
      <c r="E56" t="str">
        <f t="shared" si="0"/>
        <v>1218-53934-44746</v>
      </c>
    </row>
    <row r="57" spans="1:5" ht="14.25" customHeight="1">
      <c r="A57" s="21">
        <v>1211</v>
      </c>
      <c r="B57" s="21">
        <v>53934</v>
      </c>
      <c r="C57" s="22">
        <v>44746</v>
      </c>
      <c r="D57" s="21">
        <v>25</v>
      </c>
      <c r="E57" t="str">
        <f t="shared" si="0"/>
        <v>1211-53934-44746</v>
      </c>
    </row>
    <row r="58" spans="1:5" ht="14.25" customHeight="1">
      <c r="A58" s="21">
        <v>1209</v>
      </c>
      <c r="B58" s="21">
        <v>53934</v>
      </c>
      <c r="C58" s="22">
        <v>44746</v>
      </c>
      <c r="D58" s="21">
        <v>20</v>
      </c>
      <c r="E58" t="str">
        <f t="shared" si="0"/>
        <v>1209-53934-44746</v>
      </c>
    </row>
    <row r="59" spans="1:5" ht="14.25" customHeight="1">
      <c r="A59" s="21">
        <v>1204</v>
      </c>
      <c r="B59" s="21">
        <v>53934</v>
      </c>
      <c r="C59" s="22">
        <v>44746</v>
      </c>
      <c r="D59" s="21">
        <v>24</v>
      </c>
      <c r="E59" t="str">
        <f t="shared" si="0"/>
        <v>1204-53934-44746</v>
      </c>
    </row>
    <row r="60" spans="1:5" ht="14.25" customHeight="1">
      <c r="A60" s="21">
        <v>1203</v>
      </c>
      <c r="B60" s="21">
        <v>53934</v>
      </c>
      <c r="C60" s="22">
        <v>44746</v>
      </c>
      <c r="D60" s="21">
        <v>20</v>
      </c>
      <c r="E60" t="str">
        <f t="shared" si="0"/>
        <v>1203-53934-44746</v>
      </c>
    </row>
    <row r="61" spans="1:5" ht="14.25" customHeight="1">
      <c r="A61" s="21">
        <v>1210</v>
      </c>
      <c r="B61" s="21">
        <v>53934</v>
      </c>
      <c r="C61" s="22">
        <v>44739</v>
      </c>
      <c r="D61" s="21">
        <v>37</v>
      </c>
      <c r="E61" t="str">
        <f t="shared" si="0"/>
        <v>1210-53934-44739</v>
      </c>
    </row>
    <row r="62" spans="1:5" ht="14.25" customHeight="1">
      <c r="A62" s="21">
        <v>1207</v>
      </c>
      <c r="B62" s="21">
        <v>53934</v>
      </c>
      <c r="C62" s="22">
        <v>44739</v>
      </c>
      <c r="D62" s="21">
        <v>23</v>
      </c>
      <c r="E62" t="str">
        <f t="shared" si="0"/>
        <v>1207-53934-44739</v>
      </c>
    </row>
    <row r="63" spans="1:5" ht="14.25" customHeight="1">
      <c r="A63" s="21">
        <v>1202</v>
      </c>
      <c r="B63" s="21">
        <v>53934</v>
      </c>
      <c r="C63" s="22">
        <v>44739</v>
      </c>
      <c r="D63" s="21">
        <v>22</v>
      </c>
      <c r="E63" t="str">
        <f t="shared" si="0"/>
        <v>1202-53934-44739</v>
      </c>
    </row>
    <row r="64" spans="1:5" ht="14.25" customHeight="1">
      <c r="A64" s="21">
        <v>1214</v>
      </c>
      <c r="B64" s="21">
        <v>300380</v>
      </c>
      <c r="C64" s="22">
        <v>44753</v>
      </c>
      <c r="D64" s="21">
        <v>27</v>
      </c>
      <c r="E64" t="str">
        <f t="shared" si="0"/>
        <v>1214-300380-44753</v>
      </c>
    </row>
    <row r="65" spans="1:5" ht="14.25" customHeight="1">
      <c r="A65" s="21">
        <v>1210</v>
      </c>
      <c r="B65" s="21">
        <v>300380</v>
      </c>
      <c r="C65" s="22">
        <v>44753</v>
      </c>
      <c r="D65" s="21">
        <v>33</v>
      </c>
      <c r="E65" t="str">
        <f t="shared" si="0"/>
        <v>1210-300380-44753</v>
      </c>
    </row>
    <row r="66" spans="1:5" ht="14.25" customHeight="1">
      <c r="A66" s="21">
        <v>1209</v>
      </c>
      <c r="B66" s="21">
        <v>300380</v>
      </c>
      <c r="C66" s="22">
        <v>44753</v>
      </c>
      <c r="D66" s="21">
        <v>25</v>
      </c>
      <c r="E66" t="str">
        <f t="shared" si="0"/>
        <v>1209-300380-44753</v>
      </c>
    </row>
    <row r="67" spans="1:5" ht="14.25" customHeight="1">
      <c r="A67" s="21">
        <v>1206</v>
      </c>
      <c r="B67" s="21">
        <v>300380</v>
      </c>
      <c r="C67" s="22">
        <v>44753</v>
      </c>
      <c r="D67" s="21">
        <v>23</v>
      </c>
      <c r="E67" t="str">
        <f t="shared" ref="E67:E130" si="1">A67&amp;"-"&amp;B67&amp;"-"&amp;INT(C67)</f>
        <v>1206-300380-44753</v>
      </c>
    </row>
    <row r="68" spans="1:5" ht="14.25" customHeight="1">
      <c r="A68" s="21">
        <v>1204</v>
      </c>
      <c r="B68" s="21">
        <v>300380</v>
      </c>
      <c r="C68" s="22">
        <v>44753</v>
      </c>
      <c r="D68" s="21">
        <v>30</v>
      </c>
      <c r="E68" t="str">
        <f t="shared" si="1"/>
        <v>1204-300380-44753</v>
      </c>
    </row>
    <row r="69" spans="1:5" ht="14.25" customHeight="1">
      <c r="A69" s="21">
        <v>1202</v>
      </c>
      <c r="B69" s="21">
        <v>300380</v>
      </c>
      <c r="C69" s="22">
        <v>44753</v>
      </c>
      <c r="D69" s="21">
        <v>40</v>
      </c>
      <c r="E69" t="str">
        <f t="shared" si="1"/>
        <v>1202-300380-44753</v>
      </c>
    </row>
    <row r="70" spans="1:5" ht="14.25" customHeight="1">
      <c r="A70" s="21">
        <v>1219</v>
      </c>
      <c r="B70" s="21">
        <v>300380</v>
      </c>
      <c r="C70" s="22">
        <v>44746</v>
      </c>
      <c r="D70" s="21">
        <v>38</v>
      </c>
      <c r="E70" t="str">
        <f t="shared" si="1"/>
        <v>1219-300380-44746</v>
      </c>
    </row>
    <row r="71" spans="1:5" ht="14.25" customHeight="1">
      <c r="A71" s="21">
        <v>1218</v>
      </c>
      <c r="B71" s="21">
        <v>300380</v>
      </c>
      <c r="C71" s="22">
        <v>44746</v>
      </c>
      <c r="D71" s="21">
        <v>26</v>
      </c>
      <c r="E71" t="str">
        <f t="shared" si="1"/>
        <v>1218-300380-44746</v>
      </c>
    </row>
    <row r="72" spans="1:5" ht="14.25" customHeight="1">
      <c r="A72" s="21">
        <v>1212</v>
      </c>
      <c r="B72" s="21">
        <v>300380</v>
      </c>
      <c r="C72" s="22">
        <v>44746</v>
      </c>
      <c r="D72" s="21">
        <v>29</v>
      </c>
      <c r="E72" t="str">
        <f t="shared" si="1"/>
        <v>1212-300380-44746</v>
      </c>
    </row>
    <row r="73" spans="1:5" ht="14.25" customHeight="1">
      <c r="A73" s="21">
        <v>1205</v>
      </c>
      <c r="B73" s="21">
        <v>300380</v>
      </c>
      <c r="C73" s="22">
        <v>44746</v>
      </c>
      <c r="D73" s="21">
        <v>17</v>
      </c>
      <c r="E73" t="str">
        <f t="shared" si="1"/>
        <v>1205-300380-44746</v>
      </c>
    </row>
    <row r="74" spans="1:5" ht="14.25" customHeight="1">
      <c r="A74" s="21">
        <v>1203</v>
      </c>
      <c r="B74" s="21">
        <v>300380</v>
      </c>
      <c r="C74" s="22">
        <v>44746</v>
      </c>
      <c r="D74" s="21">
        <v>19</v>
      </c>
      <c r="E74" t="str">
        <f t="shared" si="1"/>
        <v>1203-300380-44746</v>
      </c>
    </row>
    <row r="75" spans="1:5" ht="14.25" customHeight="1">
      <c r="A75" s="21">
        <v>1220</v>
      </c>
      <c r="B75" s="21">
        <v>300380</v>
      </c>
      <c r="C75" s="22">
        <v>44739</v>
      </c>
      <c r="D75" s="21">
        <v>17</v>
      </c>
      <c r="E75" t="str">
        <f t="shared" si="1"/>
        <v>1220-300380-44739</v>
      </c>
    </row>
    <row r="76" spans="1:5" ht="14.25" customHeight="1">
      <c r="A76" s="21">
        <v>1211</v>
      </c>
      <c r="B76" s="21">
        <v>300380</v>
      </c>
      <c r="C76" s="22">
        <v>44739</v>
      </c>
      <c r="D76" s="21">
        <v>38</v>
      </c>
      <c r="E76" t="str">
        <f t="shared" si="1"/>
        <v>1211-300380-44739</v>
      </c>
    </row>
    <row r="77" spans="1:5" ht="14.25" customHeight="1">
      <c r="A77" s="21">
        <v>1207</v>
      </c>
      <c r="B77" s="21">
        <v>300380</v>
      </c>
      <c r="C77" s="22">
        <v>44739</v>
      </c>
      <c r="D77" s="21">
        <v>17</v>
      </c>
      <c r="E77" t="str">
        <f t="shared" si="1"/>
        <v>1207-300380-44739</v>
      </c>
    </row>
    <row r="78" spans="1:5" ht="14.25" customHeight="1">
      <c r="A78" s="21">
        <v>1207</v>
      </c>
      <c r="B78" s="21">
        <v>291728</v>
      </c>
      <c r="C78" s="22">
        <v>44753</v>
      </c>
      <c r="D78" s="21">
        <v>23</v>
      </c>
      <c r="E78" t="str">
        <f t="shared" si="1"/>
        <v>1207-291728-44753</v>
      </c>
    </row>
    <row r="79" spans="1:5" ht="14.25" customHeight="1">
      <c r="A79" s="21">
        <v>1204</v>
      </c>
      <c r="B79" s="21">
        <v>291728</v>
      </c>
      <c r="C79" s="22">
        <v>44753</v>
      </c>
      <c r="D79" s="21">
        <v>31</v>
      </c>
      <c r="E79" t="str">
        <f t="shared" si="1"/>
        <v>1204-291728-44753</v>
      </c>
    </row>
    <row r="80" spans="1:5" ht="14.25" customHeight="1">
      <c r="A80" s="21">
        <v>1202</v>
      </c>
      <c r="B80" s="21">
        <v>291728</v>
      </c>
      <c r="C80" s="22">
        <v>44753</v>
      </c>
      <c r="D80" s="21">
        <v>32</v>
      </c>
      <c r="E80" t="str">
        <f t="shared" si="1"/>
        <v>1202-291728-44753</v>
      </c>
    </row>
    <row r="81" spans="1:5" ht="14.25" customHeight="1">
      <c r="A81" s="21">
        <v>1211</v>
      </c>
      <c r="B81" s="21">
        <v>291728</v>
      </c>
      <c r="C81" s="22">
        <v>44746</v>
      </c>
      <c r="D81" s="21">
        <v>27</v>
      </c>
      <c r="E81" t="str">
        <f t="shared" si="1"/>
        <v>1211-291728-44746</v>
      </c>
    </row>
    <row r="82" spans="1:5" ht="14.25" customHeight="1">
      <c r="A82" s="21">
        <v>1208</v>
      </c>
      <c r="B82" s="21">
        <v>291728</v>
      </c>
      <c r="C82" s="22">
        <v>44746</v>
      </c>
      <c r="D82" s="21">
        <v>33</v>
      </c>
      <c r="E82" t="str">
        <f t="shared" si="1"/>
        <v>1208-291728-44746</v>
      </c>
    </row>
    <row r="83" spans="1:5" ht="14.25" customHeight="1">
      <c r="A83" s="21">
        <v>1206</v>
      </c>
      <c r="B83" s="21">
        <v>291728</v>
      </c>
      <c r="C83" s="22">
        <v>44746</v>
      </c>
      <c r="D83" s="21">
        <v>30</v>
      </c>
      <c r="E83" t="str">
        <f t="shared" si="1"/>
        <v>1206-291728-44746</v>
      </c>
    </row>
    <row r="84" spans="1:5" ht="14.25" customHeight="1">
      <c r="A84" s="21">
        <v>1203</v>
      </c>
      <c r="B84" s="21">
        <v>291728</v>
      </c>
      <c r="C84" s="22">
        <v>44746</v>
      </c>
      <c r="D84" s="21">
        <v>15</v>
      </c>
      <c r="E84" t="str">
        <f t="shared" si="1"/>
        <v>1203-291728-44746</v>
      </c>
    </row>
    <row r="85" spans="1:5" ht="14.25" customHeight="1">
      <c r="A85" s="21">
        <v>1220</v>
      </c>
      <c r="B85" s="21">
        <v>291728</v>
      </c>
      <c r="C85" s="22">
        <v>44739</v>
      </c>
      <c r="D85" s="21">
        <v>23</v>
      </c>
      <c r="E85" t="str">
        <f t="shared" si="1"/>
        <v>1220-291728-44739</v>
      </c>
    </row>
    <row r="86" spans="1:5" ht="14.25" customHeight="1">
      <c r="A86" s="21">
        <v>1214</v>
      </c>
      <c r="B86" s="21">
        <v>291728</v>
      </c>
      <c r="C86" s="22">
        <v>44739</v>
      </c>
      <c r="D86" s="21">
        <v>20</v>
      </c>
      <c r="E86" t="str">
        <f t="shared" si="1"/>
        <v>1214-291728-44739</v>
      </c>
    </row>
    <row r="87" spans="1:5" ht="14.25" customHeight="1">
      <c r="A87" s="21">
        <v>1210</v>
      </c>
      <c r="B87" s="21">
        <v>291728</v>
      </c>
      <c r="C87" s="22">
        <v>44739</v>
      </c>
      <c r="D87" s="21">
        <v>34</v>
      </c>
      <c r="E87" t="str">
        <f t="shared" si="1"/>
        <v>1210-291728-44739</v>
      </c>
    </row>
    <row r="88" spans="1:5" ht="14.25" customHeight="1">
      <c r="A88" s="21">
        <v>1201</v>
      </c>
      <c r="B88" s="21">
        <v>291728</v>
      </c>
      <c r="C88" s="22">
        <v>44739</v>
      </c>
      <c r="D88" s="21">
        <v>21</v>
      </c>
      <c r="E88" t="str">
        <f t="shared" si="1"/>
        <v>1201-291728-44739</v>
      </c>
    </row>
    <row r="89" spans="1:5" ht="14.25" customHeight="1">
      <c r="A89" s="21">
        <v>1219</v>
      </c>
      <c r="B89" s="21">
        <v>291726</v>
      </c>
      <c r="C89" s="22">
        <v>44753</v>
      </c>
      <c r="D89" s="21">
        <v>36</v>
      </c>
      <c r="E89" t="str">
        <f t="shared" si="1"/>
        <v>1219-291726-44753</v>
      </c>
    </row>
    <row r="90" spans="1:5" ht="14.25" customHeight="1">
      <c r="A90" s="21">
        <v>1218</v>
      </c>
      <c r="B90" s="21">
        <v>291726</v>
      </c>
      <c r="C90" s="22">
        <v>44753</v>
      </c>
      <c r="D90" s="21">
        <v>28</v>
      </c>
      <c r="E90" t="str">
        <f t="shared" si="1"/>
        <v>1218-291726-44753</v>
      </c>
    </row>
    <row r="91" spans="1:5" ht="14.25" customHeight="1">
      <c r="A91" s="21">
        <v>1211</v>
      </c>
      <c r="B91" s="21">
        <v>291726</v>
      </c>
      <c r="C91" s="22">
        <v>44753</v>
      </c>
      <c r="D91" s="21">
        <v>40</v>
      </c>
      <c r="E91" t="str">
        <f t="shared" si="1"/>
        <v>1211-291726-44753</v>
      </c>
    </row>
    <row r="92" spans="1:5" ht="14.25" customHeight="1">
      <c r="A92" s="21">
        <v>1209</v>
      </c>
      <c r="B92" s="21">
        <v>291726</v>
      </c>
      <c r="C92" s="22">
        <v>44753</v>
      </c>
      <c r="D92" s="21">
        <v>27</v>
      </c>
      <c r="E92" t="str">
        <f t="shared" si="1"/>
        <v>1209-291726-44753</v>
      </c>
    </row>
    <row r="93" spans="1:5" ht="14.25" customHeight="1">
      <c r="A93" s="21">
        <v>1207</v>
      </c>
      <c r="B93" s="21">
        <v>291726</v>
      </c>
      <c r="C93" s="22">
        <v>44753</v>
      </c>
      <c r="D93" s="21">
        <v>40</v>
      </c>
      <c r="E93" t="str">
        <f t="shared" si="1"/>
        <v>1207-291726-44753</v>
      </c>
    </row>
    <row r="94" spans="1:5" ht="14.25" customHeight="1">
      <c r="A94" s="21">
        <v>1204</v>
      </c>
      <c r="B94" s="21">
        <v>291726</v>
      </c>
      <c r="C94" s="22">
        <v>44753</v>
      </c>
      <c r="D94" s="21">
        <v>37</v>
      </c>
      <c r="E94" t="str">
        <f t="shared" si="1"/>
        <v>1204-291726-44753</v>
      </c>
    </row>
    <row r="95" spans="1:5" ht="14.25" customHeight="1">
      <c r="A95" s="21">
        <v>1216</v>
      </c>
      <c r="B95" s="21">
        <v>291726</v>
      </c>
      <c r="C95" s="22">
        <v>44746</v>
      </c>
      <c r="D95" s="21">
        <v>26</v>
      </c>
      <c r="E95" t="str">
        <f t="shared" si="1"/>
        <v>1216-291726-44746</v>
      </c>
    </row>
    <row r="96" spans="1:5" ht="14.25" customHeight="1">
      <c r="A96" s="21">
        <v>1214</v>
      </c>
      <c r="B96" s="21">
        <v>291726</v>
      </c>
      <c r="C96" s="22">
        <v>44746</v>
      </c>
      <c r="D96" s="21">
        <v>29</v>
      </c>
      <c r="E96" t="str">
        <f t="shared" si="1"/>
        <v>1214-291726-44746</v>
      </c>
    </row>
    <row r="97" spans="1:5" ht="14.25" customHeight="1">
      <c r="A97" s="21">
        <v>1212</v>
      </c>
      <c r="B97" s="21">
        <v>291726</v>
      </c>
      <c r="C97" s="22">
        <v>44746</v>
      </c>
      <c r="D97" s="21">
        <v>30</v>
      </c>
      <c r="E97" t="str">
        <f t="shared" si="1"/>
        <v>1212-291726-44746</v>
      </c>
    </row>
    <row r="98" spans="1:5" ht="14.25" customHeight="1">
      <c r="A98" s="21">
        <v>1208</v>
      </c>
      <c r="B98" s="21">
        <v>291726</v>
      </c>
      <c r="C98" s="22">
        <v>44746</v>
      </c>
      <c r="D98" s="21">
        <v>36</v>
      </c>
      <c r="E98" t="str">
        <f t="shared" si="1"/>
        <v>1208-291726-44746</v>
      </c>
    </row>
    <row r="99" spans="1:5" ht="14.25" customHeight="1">
      <c r="A99" s="21">
        <v>1203</v>
      </c>
      <c r="B99" s="21">
        <v>291726</v>
      </c>
      <c r="C99" s="22">
        <v>44746</v>
      </c>
      <c r="D99" s="21">
        <v>34</v>
      </c>
      <c r="E99" t="str">
        <f t="shared" si="1"/>
        <v>1203-291726-44746</v>
      </c>
    </row>
    <row r="100" spans="1:5" ht="14.25" customHeight="1">
      <c r="A100" s="21">
        <v>1201</v>
      </c>
      <c r="B100" s="21">
        <v>291726</v>
      </c>
      <c r="C100" s="22">
        <v>44746</v>
      </c>
      <c r="D100" s="21">
        <v>35</v>
      </c>
      <c r="E100" t="str">
        <f t="shared" si="1"/>
        <v>1201-291726-44746</v>
      </c>
    </row>
    <row r="101" spans="1:5" ht="14.25" customHeight="1">
      <c r="A101" s="21">
        <v>1213</v>
      </c>
      <c r="B101" s="21">
        <v>291726</v>
      </c>
      <c r="C101" s="22">
        <v>44739</v>
      </c>
      <c r="D101" s="21">
        <v>37</v>
      </c>
      <c r="E101" t="str">
        <f t="shared" si="1"/>
        <v>1213-291726-44739</v>
      </c>
    </row>
    <row r="102" spans="1:5" ht="14.25" customHeight="1">
      <c r="A102" s="21">
        <v>1206</v>
      </c>
      <c r="B102" s="21">
        <v>291726</v>
      </c>
      <c r="C102" s="22">
        <v>44739</v>
      </c>
      <c r="D102" s="21">
        <v>40</v>
      </c>
      <c r="E102" t="str">
        <f t="shared" si="1"/>
        <v>1206-291726-44739</v>
      </c>
    </row>
    <row r="103" spans="1:5" ht="14.25" customHeight="1">
      <c r="A103" s="21">
        <v>1214</v>
      </c>
      <c r="B103" s="21">
        <v>273701</v>
      </c>
      <c r="C103" s="22">
        <v>44753</v>
      </c>
      <c r="D103" s="21">
        <v>17</v>
      </c>
      <c r="E103" t="str">
        <f t="shared" si="1"/>
        <v>1214-273701-44753</v>
      </c>
    </row>
    <row r="104" spans="1:5" ht="14.25" customHeight="1">
      <c r="A104" s="21">
        <v>1206</v>
      </c>
      <c r="B104" s="21">
        <v>273701</v>
      </c>
      <c r="C104" s="22">
        <v>44753</v>
      </c>
      <c r="D104" s="21">
        <v>10</v>
      </c>
      <c r="E104" t="str">
        <f t="shared" si="1"/>
        <v>1206-273701-44753</v>
      </c>
    </row>
    <row r="105" spans="1:5" ht="14.25" customHeight="1">
      <c r="A105" s="21">
        <v>1218</v>
      </c>
      <c r="B105" s="21">
        <v>273701</v>
      </c>
      <c r="C105" s="22">
        <v>44746</v>
      </c>
      <c r="D105" s="21">
        <v>29</v>
      </c>
      <c r="E105" t="str">
        <f t="shared" si="1"/>
        <v>1218-273701-44746</v>
      </c>
    </row>
    <row r="106" spans="1:5" ht="14.25" customHeight="1">
      <c r="A106" s="21">
        <v>1216</v>
      </c>
      <c r="B106" s="21">
        <v>273701</v>
      </c>
      <c r="C106" s="22">
        <v>44746</v>
      </c>
      <c r="D106" s="21">
        <v>19</v>
      </c>
      <c r="E106" t="str">
        <f t="shared" si="1"/>
        <v>1216-273701-44746</v>
      </c>
    </row>
    <row r="107" spans="1:5" ht="14.25" customHeight="1">
      <c r="A107" s="21">
        <v>1211</v>
      </c>
      <c r="B107" s="21">
        <v>273701</v>
      </c>
      <c r="C107" s="22">
        <v>44746</v>
      </c>
      <c r="D107" s="21">
        <v>29</v>
      </c>
      <c r="E107" t="str">
        <f t="shared" si="1"/>
        <v>1211-273701-44746</v>
      </c>
    </row>
    <row r="108" spans="1:5" ht="14.25" customHeight="1">
      <c r="A108" s="21">
        <v>1209</v>
      </c>
      <c r="B108" s="21">
        <v>273701</v>
      </c>
      <c r="C108" s="22">
        <v>44746</v>
      </c>
      <c r="D108" s="21">
        <v>25</v>
      </c>
      <c r="E108" t="str">
        <f t="shared" si="1"/>
        <v>1209-273701-44746</v>
      </c>
    </row>
    <row r="109" spans="1:5" ht="14.25" customHeight="1">
      <c r="A109" s="21">
        <v>1205</v>
      </c>
      <c r="B109" s="21">
        <v>273701</v>
      </c>
      <c r="C109" s="22">
        <v>44746</v>
      </c>
      <c r="D109" s="21">
        <v>26</v>
      </c>
      <c r="E109" t="str">
        <f t="shared" si="1"/>
        <v>1205-273701-44746</v>
      </c>
    </row>
    <row r="110" spans="1:5" ht="14.25" customHeight="1">
      <c r="A110" s="21">
        <v>1204</v>
      </c>
      <c r="B110" s="21">
        <v>273701</v>
      </c>
      <c r="C110" s="22">
        <v>44746</v>
      </c>
      <c r="D110" s="21">
        <v>17</v>
      </c>
      <c r="E110" t="str">
        <f t="shared" si="1"/>
        <v>1204-273701-44746</v>
      </c>
    </row>
    <row r="111" spans="1:5" ht="14.25" customHeight="1">
      <c r="A111" s="21">
        <v>1203</v>
      </c>
      <c r="B111" s="21">
        <v>273701</v>
      </c>
      <c r="C111" s="22">
        <v>44746</v>
      </c>
      <c r="D111" s="21">
        <v>40</v>
      </c>
      <c r="E111" t="str">
        <f t="shared" si="1"/>
        <v>1203-273701-44746</v>
      </c>
    </row>
    <row r="112" spans="1:5" ht="14.25" customHeight="1">
      <c r="A112" s="21">
        <v>1202</v>
      </c>
      <c r="B112" s="21">
        <v>273701</v>
      </c>
      <c r="C112" s="22">
        <v>44746</v>
      </c>
      <c r="D112" s="21">
        <v>28</v>
      </c>
      <c r="E112" t="str">
        <f t="shared" si="1"/>
        <v>1202-273701-44746</v>
      </c>
    </row>
    <row r="113" spans="1:5" ht="14.25" customHeight="1">
      <c r="A113" s="21">
        <v>1201</v>
      </c>
      <c r="B113" s="21">
        <v>273701</v>
      </c>
      <c r="C113" s="22">
        <v>44746</v>
      </c>
      <c r="D113" s="21">
        <v>27</v>
      </c>
      <c r="E113" t="str">
        <f t="shared" si="1"/>
        <v>1201-273701-44746</v>
      </c>
    </row>
    <row r="114" spans="1:5" ht="14.25" customHeight="1">
      <c r="A114" s="21">
        <v>1220</v>
      </c>
      <c r="B114" s="21">
        <v>273701</v>
      </c>
      <c r="C114" s="22">
        <v>44739</v>
      </c>
      <c r="D114" s="21">
        <v>24</v>
      </c>
      <c r="E114" t="str">
        <f t="shared" si="1"/>
        <v>1220-273701-44739</v>
      </c>
    </row>
    <row r="115" spans="1:5" ht="14.25" customHeight="1">
      <c r="A115" s="21">
        <v>1213</v>
      </c>
      <c r="B115" s="21">
        <v>273701</v>
      </c>
      <c r="C115" s="22">
        <v>44739</v>
      </c>
      <c r="D115" s="21">
        <v>17</v>
      </c>
      <c r="E115" t="str">
        <f t="shared" si="1"/>
        <v>1213-273701-44739</v>
      </c>
    </row>
    <row r="116" spans="1:5" ht="14.25" customHeight="1">
      <c r="A116" s="21">
        <v>1212</v>
      </c>
      <c r="B116" s="21">
        <v>273701</v>
      </c>
      <c r="C116" s="22">
        <v>44739</v>
      </c>
      <c r="D116" s="21">
        <v>18</v>
      </c>
      <c r="E116" t="str">
        <f t="shared" si="1"/>
        <v>1212-273701-44739</v>
      </c>
    </row>
    <row r="117" spans="1:5" ht="14.25" customHeight="1">
      <c r="A117" s="21">
        <v>1210</v>
      </c>
      <c r="B117" s="21">
        <v>273701</v>
      </c>
      <c r="C117" s="22">
        <v>44739</v>
      </c>
      <c r="D117" s="21">
        <v>37</v>
      </c>
      <c r="E117" t="str">
        <f t="shared" si="1"/>
        <v>1210-273701-44739</v>
      </c>
    </row>
    <row r="118" spans="1:5" ht="14.25" customHeight="1">
      <c r="A118" s="21">
        <v>1219</v>
      </c>
      <c r="B118" s="21">
        <v>268831</v>
      </c>
      <c r="C118" s="22">
        <v>44753</v>
      </c>
      <c r="D118" s="21">
        <v>9</v>
      </c>
      <c r="E118" t="str">
        <f t="shared" si="1"/>
        <v>1219-268831-44753</v>
      </c>
    </row>
    <row r="119" spans="1:5" ht="14.25" customHeight="1">
      <c r="A119" s="21">
        <v>1218</v>
      </c>
      <c r="B119" s="21">
        <v>268831</v>
      </c>
      <c r="C119" s="22">
        <v>44753</v>
      </c>
      <c r="D119" s="21">
        <v>8</v>
      </c>
      <c r="E119" t="str">
        <f t="shared" si="1"/>
        <v>1218-268831-44753</v>
      </c>
    </row>
    <row r="120" spans="1:5" ht="14.25" customHeight="1">
      <c r="A120" s="21">
        <v>1216</v>
      </c>
      <c r="B120" s="21">
        <v>268831</v>
      </c>
      <c r="C120" s="22">
        <v>44753</v>
      </c>
      <c r="D120" s="21">
        <v>22</v>
      </c>
      <c r="E120" t="str">
        <f t="shared" si="1"/>
        <v>1216-268831-44753</v>
      </c>
    </row>
    <row r="121" spans="1:5" ht="14.25" customHeight="1">
      <c r="A121" s="21">
        <v>1212</v>
      </c>
      <c r="B121" s="21">
        <v>268831</v>
      </c>
      <c r="C121" s="22">
        <v>44753</v>
      </c>
      <c r="D121" s="21">
        <v>20</v>
      </c>
      <c r="E121" t="str">
        <f t="shared" si="1"/>
        <v>1212-268831-44753</v>
      </c>
    </row>
    <row r="122" spans="1:5" ht="14.25" customHeight="1">
      <c r="A122" s="21">
        <v>1211</v>
      </c>
      <c r="B122" s="21">
        <v>268831</v>
      </c>
      <c r="C122" s="22">
        <v>44753</v>
      </c>
      <c r="D122" s="21">
        <v>9</v>
      </c>
      <c r="E122" t="str">
        <f t="shared" si="1"/>
        <v>1211-268831-44753</v>
      </c>
    </row>
    <row r="123" spans="1:5" ht="14.25" customHeight="1">
      <c r="A123" s="21">
        <v>1210</v>
      </c>
      <c r="B123" s="21">
        <v>268831</v>
      </c>
      <c r="C123" s="22">
        <v>44753</v>
      </c>
      <c r="D123" s="21">
        <v>33</v>
      </c>
      <c r="E123" t="str">
        <f t="shared" si="1"/>
        <v>1210-268831-44753</v>
      </c>
    </row>
    <row r="124" spans="1:5" ht="14.25" customHeight="1">
      <c r="A124" s="21">
        <v>1207</v>
      </c>
      <c r="B124" s="21">
        <v>268831</v>
      </c>
      <c r="C124" s="22">
        <v>44753</v>
      </c>
      <c r="D124" s="21">
        <v>27</v>
      </c>
      <c r="E124" t="str">
        <f t="shared" si="1"/>
        <v>1207-268831-44753</v>
      </c>
    </row>
    <row r="125" spans="1:5" ht="14.25" customHeight="1">
      <c r="A125" s="21">
        <v>1203</v>
      </c>
      <c r="B125" s="21">
        <v>268831</v>
      </c>
      <c r="C125" s="22">
        <v>44753</v>
      </c>
      <c r="D125" s="21">
        <v>10</v>
      </c>
      <c r="E125" t="str">
        <f t="shared" si="1"/>
        <v>1203-268831-44753</v>
      </c>
    </row>
    <row r="126" spans="1:5" ht="14.25" customHeight="1">
      <c r="A126" s="21">
        <v>1202</v>
      </c>
      <c r="B126" s="21">
        <v>268831</v>
      </c>
      <c r="C126" s="22">
        <v>44753</v>
      </c>
      <c r="D126" s="21">
        <v>29</v>
      </c>
      <c r="E126" t="str">
        <f t="shared" si="1"/>
        <v>1202-268831-44753</v>
      </c>
    </row>
    <row r="127" spans="1:5" ht="14.25" customHeight="1">
      <c r="A127" s="21">
        <v>1201</v>
      </c>
      <c r="B127" s="21">
        <v>268831</v>
      </c>
      <c r="C127" s="22">
        <v>44753</v>
      </c>
      <c r="D127" s="21">
        <v>25</v>
      </c>
      <c r="E127" t="str">
        <f t="shared" si="1"/>
        <v>1201-268831-44753</v>
      </c>
    </row>
    <row r="128" spans="1:5" ht="14.25" customHeight="1">
      <c r="A128" s="21">
        <v>1220</v>
      </c>
      <c r="B128" s="21">
        <v>268831</v>
      </c>
      <c r="C128" s="22">
        <v>44746</v>
      </c>
      <c r="D128" s="21">
        <v>30</v>
      </c>
      <c r="E128" t="str">
        <f t="shared" si="1"/>
        <v>1220-268831-44746</v>
      </c>
    </row>
    <row r="129" spans="1:5" ht="14.25" customHeight="1">
      <c r="A129" s="21">
        <v>1206</v>
      </c>
      <c r="B129" s="21">
        <v>268831</v>
      </c>
      <c r="C129" s="22">
        <v>44746</v>
      </c>
      <c r="D129" s="21">
        <v>13</v>
      </c>
      <c r="E129" t="str">
        <f t="shared" si="1"/>
        <v>1206-268831-44746</v>
      </c>
    </row>
    <row r="130" spans="1:5" ht="14.25" customHeight="1">
      <c r="A130" s="21">
        <v>1214</v>
      </c>
      <c r="B130" s="21">
        <v>268831</v>
      </c>
      <c r="C130" s="22">
        <v>44739</v>
      </c>
      <c r="D130" s="21">
        <v>26</v>
      </c>
      <c r="E130" t="str">
        <f t="shared" si="1"/>
        <v>1214-268831-44739</v>
      </c>
    </row>
    <row r="131" spans="1:5" ht="14.25" customHeight="1">
      <c r="A131" s="21">
        <v>1213</v>
      </c>
      <c r="B131" s="21">
        <v>268831</v>
      </c>
      <c r="C131" s="22">
        <v>44739</v>
      </c>
      <c r="D131" s="21">
        <v>16</v>
      </c>
      <c r="E131" t="str">
        <f t="shared" ref="E131:E194" si="2">A131&amp;"-"&amp;B131&amp;"-"&amp;INT(C131)</f>
        <v>1213-268831-44739</v>
      </c>
    </row>
    <row r="132" spans="1:5" ht="14.25" customHeight="1">
      <c r="A132" s="21">
        <v>1209</v>
      </c>
      <c r="B132" s="21">
        <v>268831</v>
      </c>
      <c r="C132" s="22">
        <v>44739</v>
      </c>
      <c r="D132" s="21">
        <v>6</v>
      </c>
      <c r="E132" t="str">
        <f t="shared" si="2"/>
        <v>1209-268831-44739</v>
      </c>
    </row>
    <row r="133" spans="1:5" ht="14.25" customHeight="1">
      <c r="A133" s="21">
        <v>1220</v>
      </c>
      <c r="B133" s="21">
        <v>26764</v>
      </c>
      <c r="C133" s="22">
        <v>44753</v>
      </c>
      <c r="D133" s="21">
        <v>39</v>
      </c>
      <c r="E133" t="str">
        <f t="shared" si="2"/>
        <v>1220-26764-44753</v>
      </c>
    </row>
    <row r="134" spans="1:5" ht="14.25" customHeight="1">
      <c r="A134" s="21">
        <v>1218</v>
      </c>
      <c r="B134" s="21">
        <v>26764</v>
      </c>
      <c r="C134" s="22">
        <v>44753</v>
      </c>
      <c r="D134" s="21">
        <v>30</v>
      </c>
      <c r="E134" t="str">
        <f t="shared" si="2"/>
        <v>1218-26764-44753</v>
      </c>
    </row>
    <row r="135" spans="1:5" ht="14.25" customHeight="1">
      <c r="A135" s="21">
        <v>1214</v>
      </c>
      <c r="B135" s="21">
        <v>26764</v>
      </c>
      <c r="C135" s="22">
        <v>44753</v>
      </c>
      <c r="D135" s="21">
        <v>40</v>
      </c>
      <c r="E135" t="str">
        <f t="shared" si="2"/>
        <v>1214-26764-44753</v>
      </c>
    </row>
    <row r="136" spans="1:5" ht="14.25" customHeight="1">
      <c r="A136" s="21">
        <v>1210</v>
      </c>
      <c r="B136" s="21">
        <v>26764</v>
      </c>
      <c r="C136" s="22">
        <v>44753</v>
      </c>
      <c r="D136" s="21">
        <v>35</v>
      </c>
      <c r="E136" t="str">
        <f t="shared" si="2"/>
        <v>1210-26764-44753</v>
      </c>
    </row>
    <row r="137" spans="1:5" ht="14.25" customHeight="1">
      <c r="A137" s="21">
        <v>1204</v>
      </c>
      <c r="B137" s="21">
        <v>26764</v>
      </c>
      <c r="C137" s="22">
        <v>44753</v>
      </c>
      <c r="D137" s="21">
        <v>38</v>
      </c>
      <c r="E137" t="str">
        <f t="shared" si="2"/>
        <v>1204-26764-44753</v>
      </c>
    </row>
    <row r="138" spans="1:5" ht="14.25" customHeight="1">
      <c r="A138" s="21">
        <v>1219</v>
      </c>
      <c r="B138" s="21">
        <v>26764</v>
      </c>
      <c r="C138" s="22">
        <v>44746</v>
      </c>
      <c r="D138" s="21">
        <v>35</v>
      </c>
      <c r="E138" t="str">
        <f t="shared" si="2"/>
        <v>1219-26764-44746</v>
      </c>
    </row>
    <row r="139" spans="1:5" ht="14.25" customHeight="1">
      <c r="A139" s="21">
        <v>1207</v>
      </c>
      <c r="B139" s="21">
        <v>26764</v>
      </c>
      <c r="C139" s="22">
        <v>44746</v>
      </c>
      <c r="D139" s="21">
        <v>38</v>
      </c>
      <c r="E139" t="str">
        <f t="shared" si="2"/>
        <v>1207-26764-44746</v>
      </c>
    </row>
    <row r="140" spans="1:5" ht="14.25" customHeight="1">
      <c r="A140" s="21">
        <v>1212</v>
      </c>
      <c r="B140" s="21">
        <v>26764</v>
      </c>
      <c r="C140" s="22">
        <v>44739</v>
      </c>
      <c r="D140" s="21">
        <v>35</v>
      </c>
      <c r="E140" t="str">
        <f t="shared" si="2"/>
        <v>1212-26764-44739</v>
      </c>
    </row>
    <row r="141" spans="1:5" ht="14.25" customHeight="1">
      <c r="A141" s="21">
        <v>1211</v>
      </c>
      <c r="B141" s="21">
        <v>26764</v>
      </c>
      <c r="C141" s="22">
        <v>44739</v>
      </c>
      <c r="D141" s="21">
        <v>35</v>
      </c>
      <c r="E141" t="str">
        <f t="shared" si="2"/>
        <v>1211-26764-44739</v>
      </c>
    </row>
    <row r="142" spans="1:5" ht="14.25" customHeight="1">
      <c r="A142" s="21">
        <v>1208</v>
      </c>
      <c r="B142" s="21">
        <v>26764</v>
      </c>
      <c r="C142" s="22">
        <v>44739</v>
      </c>
      <c r="D142" s="21">
        <v>31</v>
      </c>
      <c r="E142" t="str">
        <f t="shared" si="2"/>
        <v>1208-26764-44739</v>
      </c>
    </row>
    <row r="143" spans="1:5" ht="14.25" customHeight="1">
      <c r="A143" s="21">
        <v>1206</v>
      </c>
      <c r="B143" s="21">
        <v>26764</v>
      </c>
      <c r="C143" s="22">
        <v>44739</v>
      </c>
      <c r="D143" s="21">
        <v>34</v>
      </c>
      <c r="E143" t="str">
        <f t="shared" si="2"/>
        <v>1206-26764-44739</v>
      </c>
    </row>
    <row r="144" spans="1:5" ht="14.25" customHeight="1">
      <c r="A144" s="21">
        <v>1203</v>
      </c>
      <c r="B144" s="21">
        <v>26764</v>
      </c>
      <c r="C144" s="22">
        <v>44739</v>
      </c>
      <c r="D144" s="21">
        <v>37</v>
      </c>
      <c r="E144" t="str">
        <f t="shared" si="2"/>
        <v>1203-26764-44739</v>
      </c>
    </row>
    <row r="145" spans="1:5" ht="14.25" customHeight="1">
      <c r="A145" s="21">
        <v>1201</v>
      </c>
      <c r="B145" s="21">
        <v>26764</v>
      </c>
      <c r="C145" s="22">
        <v>44739</v>
      </c>
      <c r="D145" s="21">
        <v>35</v>
      </c>
      <c r="E145" t="str">
        <f t="shared" si="2"/>
        <v>1201-26764-44739</v>
      </c>
    </row>
    <row r="146" spans="1:5" ht="14.25" customHeight="1">
      <c r="A146" s="21">
        <v>1220</v>
      </c>
      <c r="B146" s="21">
        <v>262294</v>
      </c>
      <c r="C146" s="22">
        <v>44753</v>
      </c>
      <c r="D146" s="21">
        <v>34</v>
      </c>
      <c r="E146" t="str">
        <f t="shared" si="2"/>
        <v>1220-262294-44753</v>
      </c>
    </row>
    <row r="147" spans="1:5" ht="14.25" customHeight="1">
      <c r="A147" s="21">
        <v>1211</v>
      </c>
      <c r="B147" s="21">
        <v>262294</v>
      </c>
      <c r="C147" s="22">
        <v>44753</v>
      </c>
      <c r="D147" s="21">
        <v>32</v>
      </c>
      <c r="E147" t="str">
        <f t="shared" si="2"/>
        <v>1211-262294-44753</v>
      </c>
    </row>
    <row r="148" spans="1:5" ht="14.25" customHeight="1">
      <c r="A148" s="21">
        <v>1210</v>
      </c>
      <c r="B148" s="21">
        <v>262294</v>
      </c>
      <c r="C148" s="22">
        <v>44753</v>
      </c>
      <c r="D148" s="21">
        <v>40</v>
      </c>
      <c r="E148" t="str">
        <f t="shared" si="2"/>
        <v>1210-262294-44753</v>
      </c>
    </row>
    <row r="149" spans="1:5" ht="14.25" customHeight="1">
      <c r="A149" s="21">
        <v>1205</v>
      </c>
      <c r="B149" s="21">
        <v>262294</v>
      </c>
      <c r="C149" s="22">
        <v>44753</v>
      </c>
      <c r="D149" s="21">
        <v>25</v>
      </c>
      <c r="E149" t="str">
        <f t="shared" si="2"/>
        <v>1205-262294-44753</v>
      </c>
    </row>
    <row r="150" spans="1:5" ht="14.25" customHeight="1">
      <c r="A150" s="21">
        <v>1203</v>
      </c>
      <c r="B150" s="21">
        <v>262294</v>
      </c>
      <c r="C150" s="22">
        <v>44753</v>
      </c>
      <c r="D150" s="21">
        <v>29</v>
      </c>
      <c r="E150" t="str">
        <f t="shared" si="2"/>
        <v>1203-262294-44753</v>
      </c>
    </row>
    <row r="151" spans="1:5" ht="14.25" customHeight="1">
      <c r="A151" s="21">
        <v>1219</v>
      </c>
      <c r="B151" s="21">
        <v>262294</v>
      </c>
      <c r="C151" s="22">
        <v>44746</v>
      </c>
      <c r="D151" s="21">
        <v>31</v>
      </c>
      <c r="E151" t="str">
        <f t="shared" si="2"/>
        <v>1219-262294-44746</v>
      </c>
    </row>
    <row r="152" spans="1:5" ht="14.25" customHeight="1">
      <c r="A152" s="21">
        <v>1213</v>
      </c>
      <c r="B152" s="21">
        <v>262294</v>
      </c>
      <c r="C152" s="22">
        <v>44746</v>
      </c>
      <c r="D152" s="21">
        <v>27</v>
      </c>
      <c r="E152" t="str">
        <f t="shared" si="2"/>
        <v>1213-262294-44746</v>
      </c>
    </row>
    <row r="153" spans="1:5" ht="14.25" customHeight="1">
      <c r="A153" s="21">
        <v>1201</v>
      </c>
      <c r="B153" s="21">
        <v>262294</v>
      </c>
      <c r="C153" s="22">
        <v>44746</v>
      </c>
      <c r="D153" s="21">
        <v>26</v>
      </c>
      <c r="E153" t="str">
        <f t="shared" si="2"/>
        <v>1201-262294-44746</v>
      </c>
    </row>
    <row r="154" spans="1:5" ht="14.25" customHeight="1">
      <c r="A154" s="21">
        <v>1218</v>
      </c>
      <c r="B154" s="21">
        <v>262294</v>
      </c>
      <c r="C154" s="22">
        <v>44739</v>
      </c>
      <c r="D154" s="21">
        <v>37</v>
      </c>
      <c r="E154" t="str">
        <f t="shared" si="2"/>
        <v>1218-262294-44739</v>
      </c>
    </row>
    <row r="155" spans="1:5" ht="14.25" customHeight="1">
      <c r="A155" s="21">
        <v>1212</v>
      </c>
      <c r="B155" s="21">
        <v>262294</v>
      </c>
      <c r="C155" s="22">
        <v>44739</v>
      </c>
      <c r="D155" s="21">
        <v>40</v>
      </c>
      <c r="E155" t="str">
        <f t="shared" si="2"/>
        <v>1212-262294-44739</v>
      </c>
    </row>
    <row r="156" spans="1:5" ht="14.25" customHeight="1">
      <c r="A156" s="21">
        <v>1204</v>
      </c>
      <c r="B156" s="21">
        <v>262294</v>
      </c>
      <c r="C156" s="22">
        <v>44739</v>
      </c>
      <c r="D156" s="21">
        <v>25</v>
      </c>
      <c r="E156" t="str">
        <f t="shared" si="2"/>
        <v>1204-262294-44739</v>
      </c>
    </row>
    <row r="157" spans="1:5" ht="14.25" customHeight="1">
      <c r="A157" s="21">
        <v>1219</v>
      </c>
      <c r="B157" s="21">
        <v>250981</v>
      </c>
      <c r="C157" s="22">
        <v>44753</v>
      </c>
      <c r="D157" s="21">
        <v>21</v>
      </c>
      <c r="E157" t="str">
        <f t="shared" si="2"/>
        <v>1219-250981-44753</v>
      </c>
    </row>
    <row r="158" spans="1:5" ht="14.25" customHeight="1">
      <c r="A158" s="21">
        <v>1216</v>
      </c>
      <c r="B158" s="21">
        <v>250981</v>
      </c>
      <c r="C158" s="22">
        <v>44753</v>
      </c>
      <c r="D158" s="21">
        <v>14</v>
      </c>
      <c r="E158" t="str">
        <f t="shared" si="2"/>
        <v>1216-250981-44753</v>
      </c>
    </row>
    <row r="159" spans="1:5" ht="14.25" customHeight="1">
      <c r="A159" s="21">
        <v>1212</v>
      </c>
      <c r="B159" s="21">
        <v>250981</v>
      </c>
      <c r="C159" s="22">
        <v>44753</v>
      </c>
      <c r="D159" s="21">
        <v>22</v>
      </c>
      <c r="E159" t="str">
        <f t="shared" si="2"/>
        <v>1212-250981-44753</v>
      </c>
    </row>
    <row r="160" spans="1:5" ht="14.25" customHeight="1">
      <c r="A160" s="21">
        <v>1206</v>
      </c>
      <c r="B160" s="21">
        <v>250981</v>
      </c>
      <c r="C160" s="22">
        <v>44753</v>
      </c>
      <c r="D160" s="21">
        <v>34</v>
      </c>
      <c r="E160" t="str">
        <f t="shared" si="2"/>
        <v>1206-250981-44753</v>
      </c>
    </row>
    <row r="161" spans="1:5" ht="14.25" customHeight="1">
      <c r="A161" s="21">
        <v>1205</v>
      </c>
      <c r="B161" s="21">
        <v>250981</v>
      </c>
      <c r="C161" s="22">
        <v>44753</v>
      </c>
      <c r="D161" s="21">
        <v>29</v>
      </c>
      <c r="E161" t="str">
        <f t="shared" si="2"/>
        <v>1205-250981-44753</v>
      </c>
    </row>
    <row r="162" spans="1:5" ht="14.25" customHeight="1">
      <c r="A162" s="21">
        <v>1202</v>
      </c>
      <c r="B162" s="21">
        <v>250981</v>
      </c>
      <c r="C162" s="22">
        <v>44753</v>
      </c>
      <c r="D162" s="21">
        <v>25</v>
      </c>
      <c r="E162" t="str">
        <f t="shared" si="2"/>
        <v>1202-250981-44753</v>
      </c>
    </row>
    <row r="163" spans="1:5" ht="14.25" customHeight="1">
      <c r="A163" s="21">
        <v>1218</v>
      </c>
      <c r="B163" s="21">
        <v>250981</v>
      </c>
      <c r="C163" s="22">
        <v>44746</v>
      </c>
      <c r="D163" s="21">
        <v>8</v>
      </c>
      <c r="E163" t="str">
        <f t="shared" si="2"/>
        <v>1218-250981-44746</v>
      </c>
    </row>
    <row r="164" spans="1:5" ht="14.25" customHeight="1">
      <c r="A164" s="21">
        <v>1214</v>
      </c>
      <c r="B164" s="21">
        <v>250981</v>
      </c>
      <c r="C164" s="22">
        <v>44746</v>
      </c>
      <c r="D164" s="21">
        <v>36</v>
      </c>
      <c r="E164" t="str">
        <f t="shared" si="2"/>
        <v>1214-250981-44746</v>
      </c>
    </row>
    <row r="165" spans="1:5" ht="14.25" customHeight="1">
      <c r="A165" s="21">
        <v>1213</v>
      </c>
      <c r="B165" s="21">
        <v>250981</v>
      </c>
      <c r="C165" s="22">
        <v>44746</v>
      </c>
      <c r="D165" s="21">
        <v>20</v>
      </c>
      <c r="E165" t="str">
        <f t="shared" si="2"/>
        <v>1213-250981-44746</v>
      </c>
    </row>
    <row r="166" spans="1:5" ht="14.25" customHeight="1">
      <c r="A166" s="21">
        <v>1211</v>
      </c>
      <c r="B166" s="21">
        <v>250981</v>
      </c>
      <c r="C166" s="22">
        <v>44746</v>
      </c>
      <c r="D166" s="21">
        <v>35</v>
      </c>
      <c r="E166" t="str">
        <f t="shared" si="2"/>
        <v>1211-250981-44746</v>
      </c>
    </row>
    <row r="167" spans="1:5" ht="14.25" customHeight="1">
      <c r="A167" s="21">
        <v>1210</v>
      </c>
      <c r="B167" s="21">
        <v>250981</v>
      </c>
      <c r="C167" s="22">
        <v>44746</v>
      </c>
      <c r="D167" s="21">
        <v>32</v>
      </c>
      <c r="E167" t="str">
        <f t="shared" si="2"/>
        <v>1210-250981-44746</v>
      </c>
    </row>
    <row r="168" spans="1:5" ht="14.25" customHeight="1">
      <c r="A168" s="21">
        <v>1207</v>
      </c>
      <c r="B168" s="21">
        <v>250981</v>
      </c>
      <c r="C168" s="22">
        <v>44746</v>
      </c>
      <c r="D168" s="21">
        <v>12</v>
      </c>
      <c r="E168" t="str">
        <f t="shared" si="2"/>
        <v>1207-250981-44746</v>
      </c>
    </row>
    <row r="169" spans="1:5" ht="14.25" customHeight="1">
      <c r="A169" s="21">
        <v>1204</v>
      </c>
      <c r="B169" s="21">
        <v>250981</v>
      </c>
      <c r="C169" s="22">
        <v>44746</v>
      </c>
      <c r="D169" s="21">
        <v>32</v>
      </c>
      <c r="E169" t="str">
        <f t="shared" si="2"/>
        <v>1204-250981-44746</v>
      </c>
    </row>
    <row r="170" spans="1:5" ht="14.25" customHeight="1">
      <c r="A170" s="21">
        <v>1203</v>
      </c>
      <c r="B170" s="21">
        <v>250981</v>
      </c>
      <c r="C170" s="22">
        <v>44746</v>
      </c>
      <c r="D170" s="21">
        <v>34</v>
      </c>
      <c r="E170" t="str">
        <f t="shared" si="2"/>
        <v>1203-250981-44746</v>
      </c>
    </row>
    <row r="171" spans="1:5" ht="14.25" customHeight="1">
      <c r="A171" s="21">
        <v>1220</v>
      </c>
      <c r="B171" s="21">
        <v>250981</v>
      </c>
      <c r="C171" s="22">
        <v>44739</v>
      </c>
      <c r="D171" s="21">
        <v>24</v>
      </c>
      <c r="E171" t="str">
        <f t="shared" si="2"/>
        <v>1220-250981-44739</v>
      </c>
    </row>
    <row r="172" spans="1:5" ht="14.25" customHeight="1">
      <c r="A172" s="21">
        <v>1209</v>
      </c>
      <c r="B172" s="21">
        <v>250981</v>
      </c>
      <c r="C172" s="22">
        <v>44739</v>
      </c>
      <c r="D172" s="21">
        <v>39</v>
      </c>
      <c r="E172" t="str">
        <f t="shared" si="2"/>
        <v>1209-250981-44739</v>
      </c>
    </row>
    <row r="173" spans="1:5" ht="14.25" customHeight="1">
      <c r="A173" s="21">
        <v>1201</v>
      </c>
      <c r="B173" s="21">
        <v>250981</v>
      </c>
      <c r="C173" s="22">
        <v>44739</v>
      </c>
      <c r="D173" s="21">
        <v>6</v>
      </c>
      <c r="E173" t="str">
        <f t="shared" si="2"/>
        <v>1201-250981-44739</v>
      </c>
    </row>
    <row r="174" spans="1:5" ht="14.25" customHeight="1">
      <c r="A174" s="21">
        <v>1216</v>
      </c>
      <c r="B174" s="21">
        <v>250979</v>
      </c>
      <c r="C174" s="22">
        <v>44753</v>
      </c>
      <c r="D174" s="21">
        <v>31</v>
      </c>
      <c r="E174" t="str">
        <f t="shared" si="2"/>
        <v>1216-250979-44753</v>
      </c>
    </row>
    <row r="175" spans="1:5" ht="14.25" customHeight="1">
      <c r="A175" s="21">
        <v>1209</v>
      </c>
      <c r="B175" s="21">
        <v>250979</v>
      </c>
      <c r="C175" s="22">
        <v>44753</v>
      </c>
      <c r="D175" s="21">
        <v>27</v>
      </c>
      <c r="E175" t="str">
        <f t="shared" si="2"/>
        <v>1209-250979-44753</v>
      </c>
    </row>
    <row r="176" spans="1:5" ht="14.25" customHeight="1">
      <c r="A176" s="21">
        <v>1208</v>
      </c>
      <c r="B176" s="21">
        <v>250979</v>
      </c>
      <c r="C176" s="22">
        <v>44753</v>
      </c>
      <c r="D176" s="21">
        <v>33</v>
      </c>
      <c r="E176" t="str">
        <f t="shared" si="2"/>
        <v>1208-250979-44753</v>
      </c>
    </row>
    <row r="177" spans="1:5" ht="14.25" customHeight="1">
      <c r="A177" s="21">
        <v>1207</v>
      </c>
      <c r="B177" s="21">
        <v>250979</v>
      </c>
      <c r="C177" s="22">
        <v>44753</v>
      </c>
      <c r="D177" s="21">
        <v>31</v>
      </c>
      <c r="E177" t="str">
        <f t="shared" si="2"/>
        <v>1207-250979-44753</v>
      </c>
    </row>
    <row r="178" spans="1:5" ht="14.25" customHeight="1">
      <c r="A178" s="21">
        <v>1205</v>
      </c>
      <c r="B178" s="21">
        <v>250979</v>
      </c>
      <c r="C178" s="22">
        <v>44753</v>
      </c>
      <c r="D178" s="21">
        <v>34</v>
      </c>
      <c r="E178" t="str">
        <f t="shared" si="2"/>
        <v>1205-250979-44753</v>
      </c>
    </row>
    <row r="179" spans="1:5" ht="14.25" customHeight="1">
      <c r="A179" s="21">
        <v>1204</v>
      </c>
      <c r="B179" s="21">
        <v>250979</v>
      </c>
      <c r="C179" s="22">
        <v>44753</v>
      </c>
      <c r="D179" s="21">
        <v>25</v>
      </c>
      <c r="E179" t="str">
        <f t="shared" si="2"/>
        <v>1204-250979-44753</v>
      </c>
    </row>
    <row r="180" spans="1:5" ht="14.25" customHeight="1">
      <c r="A180" s="21">
        <v>1201</v>
      </c>
      <c r="B180" s="21">
        <v>250979</v>
      </c>
      <c r="C180" s="22">
        <v>44753</v>
      </c>
      <c r="D180" s="21">
        <v>28</v>
      </c>
      <c r="E180" t="str">
        <f t="shared" si="2"/>
        <v>1201-250979-44753</v>
      </c>
    </row>
    <row r="181" spans="1:5" ht="14.25" customHeight="1">
      <c r="A181" s="21">
        <v>1218</v>
      </c>
      <c r="B181" s="21">
        <v>250979</v>
      </c>
      <c r="C181" s="22">
        <v>44746</v>
      </c>
      <c r="D181" s="21">
        <v>27</v>
      </c>
      <c r="E181" t="str">
        <f t="shared" si="2"/>
        <v>1218-250979-44746</v>
      </c>
    </row>
    <row r="182" spans="1:5" ht="14.25" customHeight="1">
      <c r="A182" s="21">
        <v>1213</v>
      </c>
      <c r="B182" s="21">
        <v>250979</v>
      </c>
      <c r="C182" s="22">
        <v>44746</v>
      </c>
      <c r="D182" s="21">
        <v>30</v>
      </c>
      <c r="E182" t="str">
        <f t="shared" si="2"/>
        <v>1213-250979-44746</v>
      </c>
    </row>
    <row r="183" spans="1:5" ht="14.25" customHeight="1">
      <c r="A183" s="21">
        <v>1211</v>
      </c>
      <c r="B183" s="21">
        <v>250979</v>
      </c>
      <c r="C183" s="22">
        <v>44746</v>
      </c>
      <c r="D183" s="21">
        <v>36</v>
      </c>
      <c r="E183" t="str">
        <f t="shared" si="2"/>
        <v>1211-250979-44746</v>
      </c>
    </row>
    <row r="184" spans="1:5" ht="14.25" customHeight="1">
      <c r="A184" s="21">
        <v>1203</v>
      </c>
      <c r="B184" s="21">
        <v>250979</v>
      </c>
      <c r="C184" s="22">
        <v>44746</v>
      </c>
      <c r="D184" s="21">
        <v>35</v>
      </c>
      <c r="E184" t="str">
        <f t="shared" si="2"/>
        <v>1203-250979-44746</v>
      </c>
    </row>
    <row r="185" spans="1:5" ht="14.25" customHeight="1">
      <c r="A185" s="21">
        <v>1202</v>
      </c>
      <c r="B185" s="21">
        <v>250979</v>
      </c>
      <c r="C185" s="22">
        <v>44746</v>
      </c>
      <c r="D185" s="21">
        <v>34</v>
      </c>
      <c r="E185" t="str">
        <f t="shared" si="2"/>
        <v>1202-250979-44746</v>
      </c>
    </row>
    <row r="186" spans="1:5" ht="14.25" customHeight="1">
      <c r="A186" s="21">
        <v>1214</v>
      </c>
      <c r="B186" s="21">
        <v>250979</v>
      </c>
      <c r="C186" s="22">
        <v>44739</v>
      </c>
      <c r="D186" s="21">
        <v>29</v>
      </c>
      <c r="E186" t="str">
        <f t="shared" si="2"/>
        <v>1214-250979-44739</v>
      </c>
    </row>
    <row r="187" spans="1:5" ht="14.25" customHeight="1">
      <c r="A187" s="21">
        <v>1212</v>
      </c>
      <c r="B187" s="21">
        <v>250979</v>
      </c>
      <c r="C187" s="22">
        <v>44739</v>
      </c>
      <c r="D187" s="21">
        <v>26</v>
      </c>
      <c r="E187" t="str">
        <f t="shared" si="2"/>
        <v>1212-250979-44739</v>
      </c>
    </row>
    <row r="188" spans="1:5" ht="14.25" customHeight="1">
      <c r="A188" s="21">
        <v>1210</v>
      </c>
      <c r="B188" s="21">
        <v>250979</v>
      </c>
      <c r="C188" s="22">
        <v>44739</v>
      </c>
      <c r="D188" s="21">
        <v>38</v>
      </c>
      <c r="E188" t="str">
        <f t="shared" si="2"/>
        <v>1210-250979-44739</v>
      </c>
    </row>
    <row r="189" spans="1:5" ht="14.25" customHeight="1">
      <c r="A189" s="21">
        <v>1218</v>
      </c>
      <c r="B189" s="21">
        <v>249795</v>
      </c>
      <c r="C189" s="22">
        <v>44753</v>
      </c>
      <c r="D189" s="21">
        <v>28</v>
      </c>
      <c r="E189" t="str">
        <f t="shared" si="2"/>
        <v>1218-249795-44753</v>
      </c>
    </row>
    <row r="190" spans="1:5" ht="14.25" customHeight="1">
      <c r="A190" s="21">
        <v>1204</v>
      </c>
      <c r="B190" s="21">
        <v>249795</v>
      </c>
      <c r="C190" s="22">
        <v>44753</v>
      </c>
      <c r="D190" s="21">
        <v>29</v>
      </c>
      <c r="E190" t="str">
        <f t="shared" si="2"/>
        <v>1204-249795-44753</v>
      </c>
    </row>
    <row r="191" spans="1:5" ht="14.25" customHeight="1">
      <c r="A191" s="21">
        <v>1220</v>
      </c>
      <c r="B191" s="21">
        <v>249795</v>
      </c>
      <c r="C191" s="22">
        <v>44746</v>
      </c>
      <c r="D191" s="21">
        <v>26</v>
      </c>
      <c r="E191" t="str">
        <f t="shared" si="2"/>
        <v>1220-249795-44746</v>
      </c>
    </row>
    <row r="192" spans="1:5" ht="14.25" customHeight="1">
      <c r="A192" s="21">
        <v>1216</v>
      </c>
      <c r="B192" s="21">
        <v>249795</v>
      </c>
      <c r="C192" s="22">
        <v>44746</v>
      </c>
      <c r="D192" s="21">
        <v>27</v>
      </c>
      <c r="E192" t="str">
        <f t="shared" si="2"/>
        <v>1216-249795-44746</v>
      </c>
    </row>
    <row r="193" spans="1:5" ht="14.25" customHeight="1">
      <c r="A193" s="21">
        <v>1214</v>
      </c>
      <c r="B193" s="21">
        <v>249795</v>
      </c>
      <c r="C193" s="22">
        <v>44746</v>
      </c>
      <c r="D193" s="21">
        <v>31</v>
      </c>
      <c r="E193" t="str">
        <f t="shared" si="2"/>
        <v>1214-249795-44746</v>
      </c>
    </row>
    <row r="194" spans="1:5" ht="14.25" customHeight="1">
      <c r="A194" s="21">
        <v>1210</v>
      </c>
      <c r="B194" s="21">
        <v>249795</v>
      </c>
      <c r="C194" s="22">
        <v>44746</v>
      </c>
      <c r="D194" s="21">
        <v>33</v>
      </c>
      <c r="E194" t="str">
        <f t="shared" si="2"/>
        <v>1210-249795-44746</v>
      </c>
    </row>
    <row r="195" spans="1:5" ht="14.25" customHeight="1">
      <c r="A195" s="21">
        <v>1208</v>
      </c>
      <c r="B195" s="21">
        <v>249795</v>
      </c>
      <c r="C195" s="22">
        <v>44746</v>
      </c>
      <c r="D195" s="21">
        <v>29</v>
      </c>
      <c r="E195" t="str">
        <f t="shared" ref="E195:E258" si="3">A195&amp;"-"&amp;B195&amp;"-"&amp;INT(C195)</f>
        <v>1208-249795-44746</v>
      </c>
    </row>
    <row r="196" spans="1:5" ht="14.25" customHeight="1">
      <c r="A196" s="21">
        <v>1207</v>
      </c>
      <c r="B196" s="21">
        <v>249795</v>
      </c>
      <c r="C196" s="22">
        <v>44746</v>
      </c>
      <c r="D196" s="21">
        <v>25</v>
      </c>
      <c r="E196" t="str">
        <f t="shared" si="3"/>
        <v>1207-249795-44746</v>
      </c>
    </row>
    <row r="197" spans="1:5" ht="14.25" customHeight="1">
      <c r="A197" s="21">
        <v>1202</v>
      </c>
      <c r="B197" s="21">
        <v>249795</v>
      </c>
      <c r="C197" s="22">
        <v>44746</v>
      </c>
      <c r="D197" s="21">
        <v>35</v>
      </c>
      <c r="E197" t="str">
        <f t="shared" si="3"/>
        <v>1202-249795-44746</v>
      </c>
    </row>
    <row r="198" spans="1:5" ht="14.25" customHeight="1">
      <c r="A198" s="21">
        <v>1209</v>
      </c>
      <c r="B198" s="21">
        <v>249795</v>
      </c>
      <c r="C198" s="22">
        <v>44739</v>
      </c>
      <c r="D198" s="21">
        <v>31</v>
      </c>
      <c r="E198" t="str">
        <f t="shared" si="3"/>
        <v>1209-249795-44739</v>
      </c>
    </row>
    <row r="199" spans="1:5" ht="14.25" customHeight="1">
      <c r="A199" s="21">
        <v>1201</v>
      </c>
      <c r="B199" s="21">
        <v>249795</v>
      </c>
      <c r="C199" s="22">
        <v>44739</v>
      </c>
      <c r="D199" s="21">
        <v>26</v>
      </c>
      <c r="E199" t="str">
        <f t="shared" si="3"/>
        <v>1201-249795-44739</v>
      </c>
    </row>
    <row r="200" spans="1:5" ht="14.25" customHeight="1">
      <c r="A200" s="21">
        <v>1212</v>
      </c>
      <c r="B200" s="21">
        <v>249444</v>
      </c>
      <c r="C200" s="22">
        <v>44753</v>
      </c>
      <c r="D200" s="21">
        <v>31</v>
      </c>
      <c r="E200" t="str">
        <f t="shared" si="3"/>
        <v>1212-249444-44753</v>
      </c>
    </row>
    <row r="201" spans="1:5" ht="14.25" customHeight="1">
      <c r="A201" s="21">
        <v>1211</v>
      </c>
      <c r="B201" s="21">
        <v>249444</v>
      </c>
      <c r="C201" s="22">
        <v>44753</v>
      </c>
      <c r="D201" s="21">
        <v>36</v>
      </c>
      <c r="E201" t="str">
        <f t="shared" si="3"/>
        <v>1211-249444-44753</v>
      </c>
    </row>
    <row r="202" spans="1:5" ht="14.25" customHeight="1">
      <c r="A202" s="21">
        <v>1208</v>
      </c>
      <c r="B202" s="21">
        <v>249444</v>
      </c>
      <c r="C202" s="22">
        <v>44753</v>
      </c>
      <c r="D202" s="21">
        <v>37</v>
      </c>
      <c r="E202" t="str">
        <f t="shared" si="3"/>
        <v>1208-249444-44753</v>
      </c>
    </row>
    <row r="203" spans="1:5" ht="14.25" customHeight="1">
      <c r="A203" s="21">
        <v>1204</v>
      </c>
      <c r="B203" s="21">
        <v>249444</v>
      </c>
      <c r="C203" s="22">
        <v>44753</v>
      </c>
      <c r="D203" s="21">
        <v>39</v>
      </c>
      <c r="E203" t="str">
        <f t="shared" si="3"/>
        <v>1204-249444-44753</v>
      </c>
    </row>
    <row r="204" spans="1:5" ht="14.25" customHeight="1">
      <c r="A204" s="21">
        <v>1220</v>
      </c>
      <c r="B204" s="21">
        <v>249444</v>
      </c>
      <c r="C204" s="22">
        <v>44746</v>
      </c>
      <c r="D204" s="21">
        <v>34</v>
      </c>
      <c r="E204" t="str">
        <f t="shared" si="3"/>
        <v>1220-249444-44746</v>
      </c>
    </row>
    <row r="205" spans="1:5" ht="14.25" customHeight="1">
      <c r="A205" s="21">
        <v>1210</v>
      </c>
      <c r="B205" s="21">
        <v>249444</v>
      </c>
      <c r="C205" s="22">
        <v>44746</v>
      </c>
      <c r="D205" s="21">
        <v>31</v>
      </c>
      <c r="E205" t="str">
        <f t="shared" si="3"/>
        <v>1210-249444-44746</v>
      </c>
    </row>
    <row r="206" spans="1:5" ht="14.25" customHeight="1">
      <c r="A206" s="21">
        <v>1209</v>
      </c>
      <c r="B206" s="21">
        <v>249444</v>
      </c>
      <c r="C206" s="22">
        <v>44746</v>
      </c>
      <c r="D206" s="21">
        <v>37</v>
      </c>
      <c r="E206" t="str">
        <f t="shared" si="3"/>
        <v>1209-249444-44746</v>
      </c>
    </row>
    <row r="207" spans="1:5" ht="14.25" customHeight="1">
      <c r="A207" s="21">
        <v>1202</v>
      </c>
      <c r="B207" s="21">
        <v>249444</v>
      </c>
      <c r="C207" s="22">
        <v>44746</v>
      </c>
      <c r="D207" s="21">
        <v>33</v>
      </c>
      <c r="E207" t="str">
        <f t="shared" si="3"/>
        <v>1202-249444-44746</v>
      </c>
    </row>
    <row r="208" spans="1:5" ht="14.25" customHeight="1">
      <c r="A208" s="21">
        <v>1219</v>
      </c>
      <c r="B208" s="21">
        <v>249444</v>
      </c>
      <c r="C208" s="22">
        <v>44739</v>
      </c>
      <c r="D208" s="21">
        <v>35</v>
      </c>
      <c r="E208" t="str">
        <f t="shared" si="3"/>
        <v>1219-249444-44739</v>
      </c>
    </row>
    <row r="209" spans="1:5" ht="14.25" customHeight="1">
      <c r="A209" s="21">
        <v>1218</v>
      </c>
      <c r="B209" s="21">
        <v>249444</v>
      </c>
      <c r="C209" s="22">
        <v>44739</v>
      </c>
      <c r="D209" s="21">
        <v>32</v>
      </c>
      <c r="E209" t="str">
        <f t="shared" si="3"/>
        <v>1218-249444-44739</v>
      </c>
    </row>
    <row r="210" spans="1:5" ht="14.25" customHeight="1">
      <c r="A210" s="21">
        <v>1216</v>
      </c>
      <c r="B210" s="21">
        <v>249444</v>
      </c>
      <c r="C210" s="22">
        <v>44739</v>
      </c>
      <c r="D210" s="21">
        <v>40</v>
      </c>
      <c r="E210" t="str">
        <f t="shared" si="3"/>
        <v>1216-249444-44739</v>
      </c>
    </row>
    <row r="211" spans="1:5" ht="14.25" customHeight="1">
      <c r="A211" s="21">
        <v>1214</v>
      </c>
      <c r="B211" s="21">
        <v>249444</v>
      </c>
      <c r="C211" s="22">
        <v>44739</v>
      </c>
      <c r="D211" s="21">
        <v>35</v>
      </c>
      <c r="E211" t="str">
        <f t="shared" si="3"/>
        <v>1214-249444-44739</v>
      </c>
    </row>
    <row r="212" spans="1:5" ht="14.25" customHeight="1">
      <c r="A212" s="21">
        <v>1213</v>
      </c>
      <c r="B212" s="21">
        <v>249444</v>
      </c>
      <c r="C212" s="22">
        <v>44739</v>
      </c>
      <c r="D212" s="21">
        <v>34</v>
      </c>
      <c r="E212" t="str">
        <f t="shared" si="3"/>
        <v>1213-249444-44739</v>
      </c>
    </row>
    <row r="213" spans="1:5" ht="14.25" customHeight="1">
      <c r="A213" s="21">
        <v>1205</v>
      </c>
      <c r="B213" s="21">
        <v>249444</v>
      </c>
      <c r="C213" s="22">
        <v>44739</v>
      </c>
      <c r="D213" s="21">
        <v>36</v>
      </c>
      <c r="E213" t="str">
        <f t="shared" si="3"/>
        <v>1205-249444-44739</v>
      </c>
    </row>
    <row r="214" spans="1:5" ht="14.25" customHeight="1">
      <c r="A214" s="21">
        <v>1201</v>
      </c>
      <c r="B214" s="21">
        <v>249444</v>
      </c>
      <c r="C214" s="22">
        <v>44739</v>
      </c>
      <c r="D214" s="21">
        <v>36</v>
      </c>
      <c r="E214" t="str">
        <f t="shared" si="3"/>
        <v>1201-249444-44739</v>
      </c>
    </row>
    <row r="215" spans="1:5" ht="14.25" customHeight="1">
      <c r="A215" s="21">
        <v>1210</v>
      </c>
      <c r="B215" s="21">
        <v>234334</v>
      </c>
      <c r="C215" s="22">
        <v>44753</v>
      </c>
      <c r="D215" s="21">
        <v>30</v>
      </c>
      <c r="E215" t="str">
        <f t="shared" si="3"/>
        <v>1210-234334-44753</v>
      </c>
    </row>
    <row r="216" spans="1:5" ht="14.25" customHeight="1">
      <c r="A216" s="21">
        <v>1208</v>
      </c>
      <c r="B216" s="21">
        <v>234334</v>
      </c>
      <c r="C216" s="22">
        <v>44753</v>
      </c>
      <c r="D216" s="21">
        <v>27</v>
      </c>
      <c r="E216" t="str">
        <f t="shared" si="3"/>
        <v>1208-234334-44753</v>
      </c>
    </row>
    <row r="217" spans="1:5" ht="14.25" customHeight="1">
      <c r="A217" s="21">
        <v>1203</v>
      </c>
      <c r="B217" s="21">
        <v>234334</v>
      </c>
      <c r="C217" s="22">
        <v>44753</v>
      </c>
      <c r="D217" s="21">
        <v>32</v>
      </c>
      <c r="E217" t="str">
        <f t="shared" si="3"/>
        <v>1203-234334-44753</v>
      </c>
    </row>
    <row r="218" spans="1:5" ht="14.25" customHeight="1">
      <c r="A218" s="21">
        <v>1202</v>
      </c>
      <c r="B218" s="21">
        <v>234334</v>
      </c>
      <c r="C218" s="22">
        <v>44753</v>
      </c>
      <c r="D218" s="21">
        <v>36</v>
      </c>
      <c r="E218" t="str">
        <f t="shared" si="3"/>
        <v>1202-234334-44753</v>
      </c>
    </row>
    <row r="219" spans="1:5" ht="14.25" customHeight="1">
      <c r="A219" s="21">
        <v>1218</v>
      </c>
      <c r="B219" s="21">
        <v>234334</v>
      </c>
      <c r="C219" s="22">
        <v>44746</v>
      </c>
      <c r="D219" s="21">
        <v>26</v>
      </c>
      <c r="E219" t="str">
        <f t="shared" si="3"/>
        <v>1218-234334-44746</v>
      </c>
    </row>
    <row r="220" spans="1:5" ht="14.25" customHeight="1">
      <c r="A220" s="21">
        <v>1214</v>
      </c>
      <c r="B220" s="21">
        <v>234334</v>
      </c>
      <c r="C220" s="22">
        <v>44746</v>
      </c>
      <c r="D220" s="21">
        <v>24</v>
      </c>
      <c r="E220" t="str">
        <f t="shared" si="3"/>
        <v>1214-234334-44746</v>
      </c>
    </row>
    <row r="221" spans="1:5" ht="14.25" customHeight="1">
      <c r="A221" s="21">
        <v>1212</v>
      </c>
      <c r="B221" s="21">
        <v>234334</v>
      </c>
      <c r="C221" s="22">
        <v>44746</v>
      </c>
      <c r="D221" s="21">
        <v>24</v>
      </c>
      <c r="E221" t="str">
        <f t="shared" si="3"/>
        <v>1212-234334-44746</v>
      </c>
    </row>
    <row r="222" spans="1:5" ht="14.25" customHeight="1">
      <c r="A222" s="21">
        <v>1204</v>
      </c>
      <c r="B222" s="21">
        <v>234334</v>
      </c>
      <c r="C222" s="22">
        <v>44746</v>
      </c>
      <c r="D222" s="21">
        <v>33</v>
      </c>
      <c r="E222" t="str">
        <f t="shared" si="3"/>
        <v>1204-234334-44746</v>
      </c>
    </row>
    <row r="223" spans="1:5" ht="14.25" customHeight="1">
      <c r="A223" s="21">
        <v>1201</v>
      </c>
      <c r="B223" s="21">
        <v>234334</v>
      </c>
      <c r="C223" s="22">
        <v>44746</v>
      </c>
      <c r="D223" s="21">
        <v>28</v>
      </c>
      <c r="E223" t="str">
        <f t="shared" si="3"/>
        <v>1201-234334-44746</v>
      </c>
    </row>
    <row r="224" spans="1:5" ht="14.25" customHeight="1">
      <c r="A224" s="21">
        <v>1220</v>
      </c>
      <c r="B224" s="21">
        <v>234334</v>
      </c>
      <c r="C224" s="22">
        <v>44739</v>
      </c>
      <c r="D224" s="21">
        <v>37</v>
      </c>
      <c r="E224" t="str">
        <f t="shared" si="3"/>
        <v>1220-234334-44739</v>
      </c>
    </row>
    <row r="225" spans="1:5" ht="14.25" customHeight="1">
      <c r="A225" s="21">
        <v>1213</v>
      </c>
      <c r="B225" s="21">
        <v>234334</v>
      </c>
      <c r="C225" s="22">
        <v>44739</v>
      </c>
      <c r="D225" s="21">
        <v>39</v>
      </c>
      <c r="E225" t="str">
        <f t="shared" si="3"/>
        <v>1213-234334-44739</v>
      </c>
    </row>
    <row r="226" spans="1:5" ht="14.25" customHeight="1">
      <c r="A226" s="21">
        <v>1206</v>
      </c>
      <c r="B226" s="21">
        <v>234334</v>
      </c>
      <c r="C226" s="22">
        <v>44739</v>
      </c>
      <c r="D226" s="21">
        <v>32</v>
      </c>
      <c r="E226" t="str">
        <f t="shared" si="3"/>
        <v>1206-234334-44739</v>
      </c>
    </row>
    <row r="227" spans="1:5" ht="14.25" customHeight="1">
      <c r="A227" s="21">
        <v>1205</v>
      </c>
      <c r="B227" s="21">
        <v>23393</v>
      </c>
      <c r="C227" s="22">
        <v>44753</v>
      </c>
      <c r="D227" s="21">
        <v>12</v>
      </c>
      <c r="E227" t="str">
        <f t="shared" si="3"/>
        <v>1205-23393-44753</v>
      </c>
    </row>
    <row r="228" spans="1:5" ht="14.25" customHeight="1">
      <c r="A228" s="21">
        <v>1203</v>
      </c>
      <c r="B228" s="21">
        <v>23393</v>
      </c>
      <c r="C228" s="22">
        <v>44753</v>
      </c>
      <c r="D228" s="21">
        <v>13</v>
      </c>
      <c r="E228" t="str">
        <f t="shared" si="3"/>
        <v>1203-23393-44753</v>
      </c>
    </row>
    <row r="229" spans="1:5" ht="14.25" customHeight="1">
      <c r="A229" s="21">
        <v>1218</v>
      </c>
      <c r="B229" s="21">
        <v>23393</v>
      </c>
      <c r="C229" s="22">
        <v>44746</v>
      </c>
      <c r="D229" s="21">
        <v>32</v>
      </c>
      <c r="E229" t="str">
        <f t="shared" si="3"/>
        <v>1218-23393-44746</v>
      </c>
    </row>
    <row r="230" spans="1:5" ht="14.25" customHeight="1">
      <c r="A230" s="21">
        <v>1216</v>
      </c>
      <c r="B230" s="21">
        <v>23393</v>
      </c>
      <c r="C230" s="22">
        <v>44746</v>
      </c>
      <c r="D230" s="21">
        <v>18</v>
      </c>
      <c r="E230" t="str">
        <f t="shared" si="3"/>
        <v>1216-23393-44746</v>
      </c>
    </row>
    <row r="231" spans="1:5" ht="14.25" customHeight="1">
      <c r="A231" s="21">
        <v>1213</v>
      </c>
      <c r="B231" s="21">
        <v>23393</v>
      </c>
      <c r="C231" s="22">
        <v>44746</v>
      </c>
      <c r="D231" s="21">
        <v>22</v>
      </c>
      <c r="E231" t="str">
        <f t="shared" si="3"/>
        <v>1213-23393-44746</v>
      </c>
    </row>
    <row r="232" spans="1:5" ht="14.25" customHeight="1">
      <c r="A232" s="21">
        <v>1212</v>
      </c>
      <c r="B232" s="21">
        <v>23393</v>
      </c>
      <c r="C232" s="22">
        <v>44746</v>
      </c>
      <c r="D232" s="21">
        <v>40</v>
      </c>
      <c r="E232" t="str">
        <f t="shared" si="3"/>
        <v>1212-23393-44746</v>
      </c>
    </row>
    <row r="233" spans="1:5" ht="14.25" customHeight="1">
      <c r="A233" s="21">
        <v>1210</v>
      </c>
      <c r="B233" s="21">
        <v>23393</v>
      </c>
      <c r="C233" s="22">
        <v>44746</v>
      </c>
      <c r="D233" s="21">
        <v>490</v>
      </c>
      <c r="E233" t="str">
        <f t="shared" si="3"/>
        <v>1210-23393-44746</v>
      </c>
    </row>
    <row r="234" spans="1:5" ht="14.25" customHeight="1">
      <c r="A234" s="21">
        <v>1208</v>
      </c>
      <c r="B234" s="21">
        <v>23393</v>
      </c>
      <c r="C234" s="22">
        <v>44746</v>
      </c>
      <c r="D234" s="21">
        <v>11</v>
      </c>
      <c r="E234" t="str">
        <f t="shared" si="3"/>
        <v>1208-23393-44746</v>
      </c>
    </row>
    <row r="235" spans="1:5" ht="14.25" customHeight="1">
      <c r="A235" s="21">
        <v>1201</v>
      </c>
      <c r="B235" s="21">
        <v>23393</v>
      </c>
      <c r="C235" s="22">
        <v>44746</v>
      </c>
      <c r="D235" s="21">
        <v>24</v>
      </c>
      <c r="E235" t="str">
        <f t="shared" si="3"/>
        <v>1201-23393-44746</v>
      </c>
    </row>
    <row r="236" spans="1:5" ht="14.25" customHeight="1">
      <c r="A236" s="21">
        <v>1214</v>
      </c>
      <c r="B236" s="21">
        <v>23393</v>
      </c>
      <c r="C236" s="22">
        <v>44739</v>
      </c>
      <c r="D236" s="21">
        <v>11</v>
      </c>
      <c r="E236" t="str">
        <f t="shared" si="3"/>
        <v>1214-23393-44739</v>
      </c>
    </row>
    <row r="237" spans="1:5" ht="14.25" customHeight="1">
      <c r="A237" s="21">
        <v>1211</v>
      </c>
      <c r="B237" s="21">
        <v>23393</v>
      </c>
      <c r="C237" s="22">
        <v>44739</v>
      </c>
      <c r="D237" s="21">
        <v>400</v>
      </c>
      <c r="E237" t="str">
        <f t="shared" si="3"/>
        <v>1211-23393-44739</v>
      </c>
    </row>
    <row r="238" spans="1:5" ht="14.25" customHeight="1">
      <c r="A238" s="21">
        <v>1209</v>
      </c>
      <c r="B238" s="21">
        <v>23393</v>
      </c>
      <c r="C238" s="22">
        <v>44739</v>
      </c>
      <c r="D238" s="21">
        <v>35</v>
      </c>
      <c r="E238" t="str">
        <f t="shared" si="3"/>
        <v>1209-23393-44739</v>
      </c>
    </row>
    <row r="239" spans="1:5" ht="14.25" customHeight="1">
      <c r="A239" s="21">
        <v>1214</v>
      </c>
      <c r="B239" s="21">
        <v>202577</v>
      </c>
      <c r="C239" s="22">
        <v>44753</v>
      </c>
      <c r="D239" s="21">
        <v>30</v>
      </c>
      <c r="E239" t="str">
        <f t="shared" si="3"/>
        <v>1214-202577-44753</v>
      </c>
    </row>
    <row r="240" spans="1:5" ht="14.25" customHeight="1">
      <c r="A240" s="21">
        <v>1213</v>
      </c>
      <c r="B240" s="21">
        <v>202577</v>
      </c>
      <c r="C240" s="22">
        <v>44753</v>
      </c>
      <c r="D240" s="21">
        <v>35</v>
      </c>
      <c r="E240" t="str">
        <f t="shared" si="3"/>
        <v>1213-202577-44753</v>
      </c>
    </row>
    <row r="241" spans="1:5" ht="14.25" customHeight="1">
      <c r="A241" s="21">
        <v>1211</v>
      </c>
      <c r="B241" s="21">
        <v>202577</v>
      </c>
      <c r="C241" s="22">
        <v>44753</v>
      </c>
      <c r="D241" s="21">
        <v>37</v>
      </c>
      <c r="E241" t="str">
        <f t="shared" si="3"/>
        <v>1211-202577-44753</v>
      </c>
    </row>
    <row r="242" spans="1:5" ht="14.25" customHeight="1">
      <c r="A242" s="21">
        <v>1207</v>
      </c>
      <c r="B242" s="21">
        <v>202577</v>
      </c>
      <c r="C242" s="22">
        <v>44753</v>
      </c>
      <c r="D242" s="21">
        <v>36</v>
      </c>
      <c r="E242" t="str">
        <f t="shared" si="3"/>
        <v>1207-202577-44753</v>
      </c>
    </row>
    <row r="243" spans="1:5" ht="14.25" customHeight="1">
      <c r="A243" s="21">
        <v>1220</v>
      </c>
      <c r="B243" s="21">
        <v>202577</v>
      </c>
      <c r="C243" s="22">
        <v>44746</v>
      </c>
      <c r="D243" s="21">
        <v>39</v>
      </c>
      <c r="E243" t="str">
        <f t="shared" si="3"/>
        <v>1220-202577-44746</v>
      </c>
    </row>
    <row r="244" spans="1:5" ht="14.25" customHeight="1">
      <c r="A244" s="21">
        <v>1216</v>
      </c>
      <c r="B244" s="21">
        <v>202577</v>
      </c>
      <c r="C244" s="22">
        <v>44746</v>
      </c>
      <c r="D244" s="21">
        <v>35</v>
      </c>
      <c r="E244" t="str">
        <f t="shared" si="3"/>
        <v>1216-202577-44746</v>
      </c>
    </row>
    <row r="245" spans="1:5" ht="14.25" customHeight="1">
      <c r="A245" s="21">
        <v>1212</v>
      </c>
      <c r="B245" s="21">
        <v>202577</v>
      </c>
      <c r="C245" s="22">
        <v>44746</v>
      </c>
      <c r="D245" s="21">
        <v>31</v>
      </c>
      <c r="E245" t="str">
        <f t="shared" si="3"/>
        <v>1212-202577-44746</v>
      </c>
    </row>
    <row r="246" spans="1:5" ht="14.25" customHeight="1">
      <c r="A246" s="21">
        <v>1205</v>
      </c>
      <c r="B246" s="21">
        <v>202577</v>
      </c>
      <c r="C246" s="22">
        <v>44746</v>
      </c>
      <c r="D246" s="21">
        <v>40</v>
      </c>
      <c r="E246" t="str">
        <f t="shared" si="3"/>
        <v>1205-202577-44746</v>
      </c>
    </row>
    <row r="247" spans="1:5" ht="14.25" customHeight="1">
      <c r="A247" s="21">
        <v>1219</v>
      </c>
      <c r="B247" s="21">
        <v>202577</v>
      </c>
      <c r="C247" s="22">
        <v>44739</v>
      </c>
      <c r="D247" s="21">
        <v>30</v>
      </c>
      <c r="E247" t="str">
        <f t="shared" si="3"/>
        <v>1219-202577-44739</v>
      </c>
    </row>
    <row r="248" spans="1:5" ht="14.25" customHeight="1">
      <c r="A248" s="21">
        <v>1210</v>
      </c>
      <c r="B248" s="21">
        <v>202577</v>
      </c>
      <c r="C248" s="22">
        <v>44739</v>
      </c>
      <c r="D248" s="21">
        <v>27</v>
      </c>
      <c r="E248" t="str">
        <f t="shared" si="3"/>
        <v>1210-202577-44739</v>
      </c>
    </row>
    <row r="249" spans="1:5" ht="14.25" customHeight="1">
      <c r="A249" s="21">
        <v>1209</v>
      </c>
      <c r="B249" s="21">
        <v>202577</v>
      </c>
      <c r="C249" s="22">
        <v>44739</v>
      </c>
      <c r="D249" s="21">
        <v>39</v>
      </c>
      <c r="E249" t="str">
        <f t="shared" si="3"/>
        <v>1209-202577-44739</v>
      </c>
    </row>
    <row r="250" spans="1:5" ht="14.25" customHeight="1">
      <c r="A250" s="21">
        <v>1204</v>
      </c>
      <c r="B250" s="21">
        <v>202577</v>
      </c>
      <c r="C250" s="22">
        <v>44739</v>
      </c>
      <c r="D250" s="21">
        <v>37</v>
      </c>
      <c r="E250" t="str">
        <f t="shared" si="3"/>
        <v>1204-202577-44739</v>
      </c>
    </row>
    <row r="251" spans="1:5" ht="14.25" customHeight="1">
      <c r="A251" s="21">
        <v>1202</v>
      </c>
      <c r="B251" s="21">
        <v>202577</v>
      </c>
      <c r="C251" s="22">
        <v>44739</v>
      </c>
      <c r="D251" s="21">
        <v>28</v>
      </c>
      <c r="E251" t="str">
        <f t="shared" si="3"/>
        <v>1202-202577-44739</v>
      </c>
    </row>
    <row r="252" spans="1:5" ht="14.25" customHeight="1">
      <c r="A252" s="21">
        <v>1218</v>
      </c>
      <c r="B252" s="21">
        <v>189933</v>
      </c>
      <c r="C252" s="22">
        <v>44753</v>
      </c>
      <c r="D252" s="21">
        <v>22</v>
      </c>
      <c r="E252" t="str">
        <f t="shared" si="3"/>
        <v>1218-189933-44753</v>
      </c>
    </row>
    <row r="253" spans="1:5" ht="14.25" customHeight="1">
      <c r="A253" s="21">
        <v>1213</v>
      </c>
      <c r="B253" s="21">
        <v>189933</v>
      </c>
      <c r="C253" s="22">
        <v>44753</v>
      </c>
      <c r="D253" s="21">
        <v>28</v>
      </c>
      <c r="E253" t="str">
        <f t="shared" si="3"/>
        <v>1213-189933-44753</v>
      </c>
    </row>
    <row r="254" spans="1:5" ht="14.25" customHeight="1">
      <c r="A254" s="21">
        <v>1210</v>
      </c>
      <c r="B254" s="21">
        <v>189933</v>
      </c>
      <c r="C254" s="22">
        <v>44753</v>
      </c>
      <c r="D254" s="21">
        <v>17</v>
      </c>
      <c r="E254" t="str">
        <f t="shared" si="3"/>
        <v>1210-189933-44753</v>
      </c>
    </row>
    <row r="255" spans="1:5" ht="14.25" customHeight="1">
      <c r="A255" s="21">
        <v>1207</v>
      </c>
      <c r="B255" s="21">
        <v>189933</v>
      </c>
      <c r="C255" s="22">
        <v>44753</v>
      </c>
      <c r="D255" s="21">
        <v>15</v>
      </c>
      <c r="E255" t="str">
        <f t="shared" si="3"/>
        <v>1207-189933-44753</v>
      </c>
    </row>
    <row r="256" spans="1:5" ht="14.25" customHeight="1">
      <c r="A256" s="21">
        <v>1220</v>
      </c>
      <c r="B256" s="21">
        <v>189933</v>
      </c>
      <c r="C256" s="22">
        <v>44746</v>
      </c>
      <c r="D256" s="21">
        <v>39</v>
      </c>
      <c r="E256" t="str">
        <f t="shared" si="3"/>
        <v>1220-189933-44746</v>
      </c>
    </row>
    <row r="257" spans="1:5" ht="14.25" customHeight="1">
      <c r="A257" s="21">
        <v>1216</v>
      </c>
      <c r="B257" s="21">
        <v>189933</v>
      </c>
      <c r="C257" s="22">
        <v>44746</v>
      </c>
      <c r="D257" s="21">
        <v>40</v>
      </c>
      <c r="E257" t="str">
        <f t="shared" si="3"/>
        <v>1216-189933-44746</v>
      </c>
    </row>
    <row r="258" spans="1:5" ht="14.25" customHeight="1">
      <c r="A258" s="21">
        <v>1214</v>
      </c>
      <c r="B258" s="21">
        <v>189933</v>
      </c>
      <c r="C258" s="22">
        <v>44746</v>
      </c>
      <c r="D258" s="21">
        <v>35</v>
      </c>
      <c r="E258" t="str">
        <f t="shared" si="3"/>
        <v>1214-189933-44746</v>
      </c>
    </row>
    <row r="259" spans="1:5" ht="14.25" customHeight="1">
      <c r="A259" s="21">
        <v>1209</v>
      </c>
      <c r="B259" s="21">
        <v>189933</v>
      </c>
      <c r="C259" s="22">
        <v>44746</v>
      </c>
      <c r="D259" s="21">
        <v>36</v>
      </c>
      <c r="E259" t="str">
        <f t="shared" ref="E259:E322" si="4">A259&amp;"-"&amp;B259&amp;"-"&amp;INT(C259)</f>
        <v>1209-189933-44746</v>
      </c>
    </row>
    <row r="260" spans="1:5" ht="14.25" customHeight="1">
      <c r="A260" s="21">
        <v>1202</v>
      </c>
      <c r="B260" s="21">
        <v>189933</v>
      </c>
      <c r="C260" s="22">
        <v>44746</v>
      </c>
      <c r="D260" s="21">
        <v>38</v>
      </c>
      <c r="E260" t="str">
        <f t="shared" si="4"/>
        <v>1202-189933-44746</v>
      </c>
    </row>
    <row r="261" spans="1:5" ht="14.25" customHeight="1">
      <c r="A261" s="21">
        <v>1211</v>
      </c>
      <c r="B261" s="21">
        <v>189933</v>
      </c>
      <c r="C261" s="22">
        <v>44739</v>
      </c>
      <c r="D261" s="21">
        <v>26</v>
      </c>
      <c r="E261" t="str">
        <f t="shared" si="4"/>
        <v>1211-189933-44739</v>
      </c>
    </row>
    <row r="262" spans="1:5" ht="14.25" customHeight="1">
      <c r="A262" s="21">
        <v>1208</v>
      </c>
      <c r="B262" s="21">
        <v>189933</v>
      </c>
      <c r="C262" s="22">
        <v>44739</v>
      </c>
      <c r="D262" s="21">
        <v>31</v>
      </c>
      <c r="E262" t="str">
        <f t="shared" si="4"/>
        <v>1208-189933-44739</v>
      </c>
    </row>
    <row r="263" spans="1:5" ht="14.25" customHeight="1">
      <c r="A263" s="21">
        <v>1211</v>
      </c>
      <c r="B263" s="21">
        <v>149779</v>
      </c>
      <c r="C263" s="22">
        <v>44753</v>
      </c>
      <c r="D263" s="21">
        <v>36</v>
      </c>
      <c r="E263" t="str">
        <f t="shared" si="4"/>
        <v>1211-149779-44753</v>
      </c>
    </row>
    <row r="264" spans="1:5" ht="14.25" customHeight="1">
      <c r="A264" s="21">
        <v>1207</v>
      </c>
      <c r="B264" s="21">
        <v>149779</v>
      </c>
      <c r="C264" s="22">
        <v>44753</v>
      </c>
      <c r="D264" s="21">
        <v>40</v>
      </c>
      <c r="E264" t="str">
        <f t="shared" si="4"/>
        <v>1207-149779-44753</v>
      </c>
    </row>
    <row r="265" spans="1:5" ht="14.25" customHeight="1">
      <c r="A265" s="21">
        <v>1203</v>
      </c>
      <c r="B265" s="21">
        <v>149779</v>
      </c>
      <c r="C265" s="22">
        <v>44753</v>
      </c>
      <c r="D265" s="21">
        <v>40</v>
      </c>
      <c r="E265" t="str">
        <f t="shared" si="4"/>
        <v>1203-149779-44753</v>
      </c>
    </row>
    <row r="266" spans="1:5" ht="14.25" customHeight="1">
      <c r="A266" s="21">
        <v>1214</v>
      </c>
      <c r="B266" s="21">
        <v>149779</v>
      </c>
      <c r="C266" s="22">
        <v>44746</v>
      </c>
      <c r="D266" s="21">
        <v>35</v>
      </c>
      <c r="E266" t="str">
        <f t="shared" si="4"/>
        <v>1214-149779-44746</v>
      </c>
    </row>
    <row r="267" spans="1:5" ht="14.25" customHeight="1">
      <c r="A267" s="21">
        <v>1210</v>
      </c>
      <c r="B267" s="21">
        <v>149779</v>
      </c>
      <c r="C267" s="22">
        <v>44746</v>
      </c>
      <c r="D267" s="21">
        <v>32</v>
      </c>
      <c r="E267" t="str">
        <f t="shared" si="4"/>
        <v>1210-149779-44746</v>
      </c>
    </row>
    <row r="268" spans="1:5" ht="14.25" customHeight="1">
      <c r="A268" s="21">
        <v>1208</v>
      </c>
      <c r="B268" s="21">
        <v>149779</v>
      </c>
      <c r="C268" s="22">
        <v>44746</v>
      </c>
      <c r="D268" s="21">
        <v>28</v>
      </c>
      <c r="E268" t="str">
        <f t="shared" si="4"/>
        <v>1208-149779-44746</v>
      </c>
    </row>
    <row r="269" spans="1:5" ht="14.25" customHeight="1">
      <c r="A269" s="21">
        <v>1206</v>
      </c>
      <c r="B269" s="21">
        <v>149779</v>
      </c>
      <c r="C269" s="22">
        <v>44746</v>
      </c>
      <c r="D269" s="21">
        <v>32</v>
      </c>
      <c r="E269" t="str">
        <f t="shared" si="4"/>
        <v>1206-149779-44746</v>
      </c>
    </row>
    <row r="270" spans="1:5" ht="14.25" customHeight="1">
      <c r="A270" s="21">
        <v>1202</v>
      </c>
      <c r="B270" s="21">
        <v>149779</v>
      </c>
      <c r="C270" s="22">
        <v>44746</v>
      </c>
      <c r="D270" s="21">
        <v>39</v>
      </c>
      <c r="E270" t="str">
        <f t="shared" si="4"/>
        <v>1202-149779-44746</v>
      </c>
    </row>
    <row r="271" spans="1:5" ht="14.25" customHeight="1">
      <c r="A271" s="21">
        <v>1220</v>
      </c>
      <c r="B271" s="21">
        <v>149779</v>
      </c>
      <c r="C271" s="22">
        <v>44739</v>
      </c>
      <c r="D271" s="21">
        <v>31</v>
      </c>
      <c r="E271" t="str">
        <f t="shared" si="4"/>
        <v>1220-149779-44739</v>
      </c>
    </row>
    <row r="272" spans="1:5" ht="14.25" customHeight="1">
      <c r="A272" s="21">
        <v>1219</v>
      </c>
      <c r="B272" s="21">
        <v>149779</v>
      </c>
      <c r="C272" s="22">
        <v>44739</v>
      </c>
      <c r="D272" s="21">
        <v>38</v>
      </c>
      <c r="E272" t="str">
        <f t="shared" si="4"/>
        <v>1219-149779-44739</v>
      </c>
    </row>
    <row r="273" spans="1:5" ht="14.25" customHeight="1">
      <c r="A273" s="21">
        <v>1216</v>
      </c>
      <c r="B273" s="21">
        <v>149779</v>
      </c>
      <c r="C273" s="22">
        <v>44739</v>
      </c>
      <c r="D273" s="21">
        <v>32</v>
      </c>
      <c r="E273" t="str">
        <f t="shared" si="4"/>
        <v>1216-149779-44739</v>
      </c>
    </row>
    <row r="274" spans="1:5" ht="14.25" customHeight="1">
      <c r="A274" s="21">
        <v>1213</v>
      </c>
      <c r="B274" s="21">
        <v>149779</v>
      </c>
      <c r="C274" s="22">
        <v>44739</v>
      </c>
      <c r="D274" s="21">
        <v>35</v>
      </c>
      <c r="E274" t="str">
        <f t="shared" si="4"/>
        <v>1213-149779-44739</v>
      </c>
    </row>
    <row r="275" spans="1:5" ht="14.25" customHeight="1">
      <c r="A275" s="21">
        <v>1204</v>
      </c>
      <c r="B275" s="21">
        <v>149779</v>
      </c>
      <c r="C275" s="22">
        <v>44739</v>
      </c>
      <c r="D275" s="21">
        <v>27</v>
      </c>
      <c r="E275" t="str">
        <f t="shared" si="4"/>
        <v>1204-149779-44739</v>
      </c>
    </row>
    <row r="276" spans="1:5" ht="14.25" customHeight="1">
      <c r="A276" s="21">
        <v>1214</v>
      </c>
      <c r="B276" s="21">
        <v>149729</v>
      </c>
      <c r="C276" s="22">
        <v>44753</v>
      </c>
      <c r="D276" s="21">
        <v>27</v>
      </c>
      <c r="E276" t="str">
        <f t="shared" si="4"/>
        <v>1214-149729-44753</v>
      </c>
    </row>
    <row r="277" spans="1:5" ht="14.25" customHeight="1">
      <c r="A277" s="21">
        <v>1212</v>
      </c>
      <c r="B277" s="21">
        <v>149729</v>
      </c>
      <c r="C277" s="22">
        <v>44753</v>
      </c>
      <c r="D277" s="21">
        <v>32</v>
      </c>
      <c r="E277" t="str">
        <f t="shared" si="4"/>
        <v>1212-149729-44753</v>
      </c>
    </row>
    <row r="278" spans="1:5" ht="14.25" customHeight="1">
      <c r="A278" s="21">
        <v>1211</v>
      </c>
      <c r="B278" s="21">
        <v>149729</v>
      </c>
      <c r="C278" s="22">
        <v>44753</v>
      </c>
      <c r="D278" s="21">
        <v>29</v>
      </c>
      <c r="E278" t="str">
        <f t="shared" si="4"/>
        <v>1211-149729-44753</v>
      </c>
    </row>
    <row r="279" spans="1:5" ht="14.25" customHeight="1">
      <c r="A279" s="21">
        <v>1210</v>
      </c>
      <c r="B279" s="21">
        <v>149729</v>
      </c>
      <c r="C279" s="22">
        <v>44746</v>
      </c>
      <c r="D279" s="21">
        <v>24</v>
      </c>
      <c r="E279" t="str">
        <f t="shared" si="4"/>
        <v>1210-149729-44746</v>
      </c>
    </row>
    <row r="280" spans="1:5" ht="14.25" customHeight="1">
      <c r="A280" s="21">
        <v>1220</v>
      </c>
      <c r="B280" s="21">
        <v>149729</v>
      </c>
      <c r="C280" s="22">
        <v>44739</v>
      </c>
      <c r="D280" s="21">
        <v>25</v>
      </c>
      <c r="E280" t="str">
        <f t="shared" si="4"/>
        <v>1220-149729-44739</v>
      </c>
    </row>
    <row r="281" spans="1:5" ht="14.25" customHeight="1">
      <c r="A281" s="21">
        <v>1218</v>
      </c>
      <c r="B281" s="21">
        <v>149729</v>
      </c>
      <c r="C281" s="22">
        <v>44739</v>
      </c>
      <c r="D281" s="21">
        <v>34</v>
      </c>
      <c r="E281" t="str">
        <f t="shared" si="4"/>
        <v>1218-149729-44739</v>
      </c>
    </row>
    <row r="282" spans="1:5" ht="14.25" customHeight="1">
      <c r="A282" s="21">
        <v>1216</v>
      </c>
      <c r="B282" s="21">
        <v>149729</v>
      </c>
      <c r="C282" s="22">
        <v>44739</v>
      </c>
      <c r="D282" s="21">
        <v>40</v>
      </c>
      <c r="E282" t="str">
        <f t="shared" si="4"/>
        <v>1216-149729-44739</v>
      </c>
    </row>
    <row r="283" spans="1:5" ht="14.25" customHeight="1">
      <c r="A283" s="21">
        <v>1206</v>
      </c>
      <c r="B283" s="21">
        <v>149729</v>
      </c>
      <c r="C283" s="22">
        <v>44739</v>
      </c>
      <c r="D283" s="21">
        <v>24</v>
      </c>
      <c r="E283" t="str">
        <f t="shared" si="4"/>
        <v>1206-149729-44739</v>
      </c>
    </row>
    <row r="284" spans="1:5" ht="14.25" customHeight="1">
      <c r="A284" s="21">
        <v>1205</v>
      </c>
      <c r="B284" s="21">
        <v>149729</v>
      </c>
      <c r="C284" s="22">
        <v>44739</v>
      </c>
      <c r="D284" s="21">
        <v>34</v>
      </c>
      <c r="E284" t="str">
        <f t="shared" si="4"/>
        <v>1205-149729-44739</v>
      </c>
    </row>
    <row r="285" spans="1:5" ht="14.25" customHeight="1">
      <c r="A285" s="21">
        <v>1204</v>
      </c>
      <c r="B285" s="21">
        <v>149729</v>
      </c>
      <c r="C285" s="22">
        <v>44739</v>
      </c>
      <c r="D285" s="21">
        <v>33</v>
      </c>
      <c r="E285" t="str">
        <f t="shared" si="4"/>
        <v>1204-149729-44739</v>
      </c>
    </row>
    <row r="286" spans="1:5" ht="14.25" customHeight="1">
      <c r="A286" s="21">
        <v>1202</v>
      </c>
      <c r="B286" s="21">
        <v>149729</v>
      </c>
      <c r="C286" s="22">
        <v>44739</v>
      </c>
      <c r="D286" s="21">
        <v>28</v>
      </c>
      <c r="E286" t="str">
        <f t="shared" si="4"/>
        <v>1202-149729-44739</v>
      </c>
    </row>
    <row r="287" spans="1:5" ht="14.25" customHeight="1">
      <c r="A287" s="21">
        <v>1201</v>
      </c>
      <c r="B287" s="21">
        <v>149729</v>
      </c>
      <c r="C287" s="22">
        <v>44739</v>
      </c>
      <c r="D287" s="21">
        <v>25</v>
      </c>
      <c r="E287" t="str">
        <f t="shared" si="4"/>
        <v>1201-149729-44739</v>
      </c>
    </row>
    <row r="288" spans="1:5" ht="14.25" customHeight="1">
      <c r="A288" s="21">
        <v>1220</v>
      </c>
      <c r="B288" s="21">
        <v>142194</v>
      </c>
      <c r="C288" s="22">
        <v>44753</v>
      </c>
      <c r="D288" s="21">
        <v>39</v>
      </c>
      <c r="E288" t="str">
        <f t="shared" si="4"/>
        <v>1220-142194-44753</v>
      </c>
    </row>
    <row r="289" spans="1:5" ht="14.25" customHeight="1">
      <c r="A289" s="21">
        <v>1211</v>
      </c>
      <c r="B289" s="21">
        <v>142194</v>
      </c>
      <c r="C289" s="22">
        <v>44753</v>
      </c>
      <c r="D289" s="21">
        <v>33</v>
      </c>
      <c r="E289" t="str">
        <f t="shared" si="4"/>
        <v>1211-142194-44753</v>
      </c>
    </row>
    <row r="290" spans="1:5" ht="14.25" customHeight="1">
      <c r="A290" s="21">
        <v>1209</v>
      </c>
      <c r="B290" s="21">
        <v>142194</v>
      </c>
      <c r="C290" s="22">
        <v>44753</v>
      </c>
      <c r="D290" s="21">
        <v>38</v>
      </c>
      <c r="E290" t="str">
        <f t="shared" si="4"/>
        <v>1209-142194-44753</v>
      </c>
    </row>
    <row r="291" spans="1:5" ht="14.25" customHeight="1">
      <c r="A291" s="21">
        <v>1203</v>
      </c>
      <c r="B291" s="21">
        <v>142194</v>
      </c>
      <c r="C291" s="22">
        <v>44753</v>
      </c>
      <c r="D291" s="21">
        <v>39</v>
      </c>
      <c r="E291" t="str">
        <f t="shared" si="4"/>
        <v>1203-142194-44753</v>
      </c>
    </row>
    <row r="292" spans="1:5" ht="14.25" customHeight="1">
      <c r="A292" s="21">
        <v>1202</v>
      </c>
      <c r="B292" s="21">
        <v>142194</v>
      </c>
      <c r="C292" s="22">
        <v>44753</v>
      </c>
      <c r="D292" s="21">
        <v>18</v>
      </c>
      <c r="E292" t="str">
        <f t="shared" si="4"/>
        <v>1202-142194-44753</v>
      </c>
    </row>
    <row r="293" spans="1:5" ht="14.25" customHeight="1">
      <c r="A293" s="21">
        <v>1213</v>
      </c>
      <c r="B293" s="21">
        <v>142194</v>
      </c>
      <c r="C293" s="22">
        <v>44746</v>
      </c>
      <c r="D293" s="21">
        <v>35</v>
      </c>
      <c r="E293" t="str">
        <f t="shared" si="4"/>
        <v>1213-142194-44746</v>
      </c>
    </row>
    <row r="294" spans="1:5" ht="14.25" customHeight="1">
      <c r="A294" s="21">
        <v>1212</v>
      </c>
      <c r="B294" s="21">
        <v>142194</v>
      </c>
      <c r="C294" s="22">
        <v>44746</v>
      </c>
      <c r="D294" s="21">
        <v>37</v>
      </c>
      <c r="E294" t="str">
        <f t="shared" si="4"/>
        <v>1212-142194-44746</v>
      </c>
    </row>
    <row r="295" spans="1:5" ht="14.25" customHeight="1">
      <c r="A295" s="21">
        <v>1205</v>
      </c>
      <c r="B295" s="21">
        <v>142194</v>
      </c>
      <c r="C295" s="22">
        <v>44746</v>
      </c>
      <c r="D295" s="21">
        <v>40</v>
      </c>
      <c r="E295" t="str">
        <f t="shared" si="4"/>
        <v>1205-142194-44746</v>
      </c>
    </row>
    <row r="296" spans="1:5" ht="14.25" customHeight="1">
      <c r="A296" s="21">
        <v>1204</v>
      </c>
      <c r="B296" s="21">
        <v>142194</v>
      </c>
      <c r="C296" s="22">
        <v>44746</v>
      </c>
      <c r="D296" s="21">
        <v>29</v>
      </c>
      <c r="E296" t="str">
        <f t="shared" si="4"/>
        <v>1204-142194-44746</v>
      </c>
    </row>
    <row r="297" spans="1:5" ht="14.25" customHeight="1">
      <c r="A297" s="21">
        <v>1218</v>
      </c>
      <c r="B297" s="21">
        <v>142194</v>
      </c>
      <c r="C297" s="22">
        <v>44739</v>
      </c>
      <c r="D297" s="21">
        <v>37</v>
      </c>
      <c r="E297" t="str">
        <f t="shared" si="4"/>
        <v>1218-142194-44739</v>
      </c>
    </row>
    <row r="298" spans="1:5" ht="14.25" customHeight="1">
      <c r="A298" s="21">
        <v>1216</v>
      </c>
      <c r="B298" s="21">
        <v>142194</v>
      </c>
      <c r="C298" s="22">
        <v>44739</v>
      </c>
      <c r="D298" s="21">
        <v>21</v>
      </c>
      <c r="E298" t="str">
        <f t="shared" si="4"/>
        <v>1216-142194-44739</v>
      </c>
    </row>
    <row r="299" spans="1:5" ht="14.25" customHeight="1">
      <c r="A299" s="21">
        <v>1210</v>
      </c>
      <c r="B299" s="21">
        <v>142194</v>
      </c>
      <c r="C299" s="22">
        <v>44739</v>
      </c>
      <c r="D299" s="21">
        <v>18</v>
      </c>
      <c r="E299" t="str">
        <f t="shared" si="4"/>
        <v>1210-142194-44739</v>
      </c>
    </row>
    <row r="300" spans="1:5" ht="14.25" customHeight="1">
      <c r="A300" s="21">
        <v>1208</v>
      </c>
      <c r="B300" s="21">
        <v>142194</v>
      </c>
      <c r="C300" s="22">
        <v>44739</v>
      </c>
      <c r="D300" s="21">
        <v>36</v>
      </c>
      <c r="E300" t="str">
        <f t="shared" si="4"/>
        <v>1208-142194-44739</v>
      </c>
    </row>
    <row r="301" spans="1:5" ht="14.25" customHeight="1">
      <c r="A301" s="21">
        <v>1207</v>
      </c>
      <c r="B301" s="21">
        <v>142194</v>
      </c>
      <c r="C301" s="22">
        <v>44739</v>
      </c>
      <c r="D301" s="21">
        <v>15</v>
      </c>
      <c r="E301" t="str">
        <f t="shared" si="4"/>
        <v>1207-142194-44739</v>
      </c>
    </row>
    <row r="302" spans="1:5" ht="14.25" customHeight="1">
      <c r="A302" s="21">
        <v>1220</v>
      </c>
      <c r="B302" s="21">
        <v>141967</v>
      </c>
      <c r="C302" s="22">
        <v>44753</v>
      </c>
      <c r="D302" s="21">
        <v>33</v>
      </c>
      <c r="E302" t="str">
        <f t="shared" si="4"/>
        <v>1220-141967-44753</v>
      </c>
    </row>
    <row r="303" spans="1:5" ht="14.25" customHeight="1">
      <c r="A303" s="21">
        <v>1213</v>
      </c>
      <c r="B303" s="21">
        <v>141967</v>
      </c>
      <c r="C303" s="22">
        <v>44753</v>
      </c>
      <c r="D303" s="21">
        <v>37</v>
      </c>
      <c r="E303" t="str">
        <f t="shared" si="4"/>
        <v>1213-141967-44753</v>
      </c>
    </row>
    <row r="304" spans="1:5" ht="14.25" customHeight="1">
      <c r="A304" s="21">
        <v>1211</v>
      </c>
      <c r="B304" s="21">
        <v>141967</v>
      </c>
      <c r="C304" s="22">
        <v>44753</v>
      </c>
      <c r="D304" s="21">
        <v>30</v>
      </c>
      <c r="E304" t="str">
        <f t="shared" si="4"/>
        <v>1211-141967-44753</v>
      </c>
    </row>
    <row r="305" spans="1:5" ht="14.25" customHeight="1">
      <c r="A305" s="21">
        <v>1209</v>
      </c>
      <c r="B305" s="21">
        <v>141967</v>
      </c>
      <c r="C305" s="22">
        <v>44753</v>
      </c>
      <c r="D305" s="21">
        <v>25</v>
      </c>
      <c r="E305" t="str">
        <f t="shared" si="4"/>
        <v>1209-141967-44753</v>
      </c>
    </row>
    <row r="306" spans="1:5" ht="14.25" customHeight="1">
      <c r="A306" s="21">
        <v>1206</v>
      </c>
      <c r="B306" s="21">
        <v>141967</v>
      </c>
      <c r="C306" s="22">
        <v>44753</v>
      </c>
      <c r="D306" s="21">
        <v>28</v>
      </c>
      <c r="E306" t="str">
        <f t="shared" si="4"/>
        <v>1206-141967-44753</v>
      </c>
    </row>
    <row r="307" spans="1:5" ht="14.25" customHeight="1">
      <c r="A307" s="21">
        <v>1203</v>
      </c>
      <c r="B307" s="21">
        <v>141967</v>
      </c>
      <c r="C307" s="22">
        <v>44753</v>
      </c>
      <c r="D307" s="21">
        <v>25</v>
      </c>
      <c r="E307" t="str">
        <f t="shared" si="4"/>
        <v>1203-141967-44753</v>
      </c>
    </row>
    <row r="308" spans="1:5" ht="14.25" customHeight="1">
      <c r="A308" s="21">
        <v>1219</v>
      </c>
      <c r="B308" s="21">
        <v>141967</v>
      </c>
      <c r="C308" s="22">
        <v>44746</v>
      </c>
      <c r="D308" s="21">
        <v>29</v>
      </c>
      <c r="E308" t="str">
        <f t="shared" si="4"/>
        <v>1219-141967-44746</v>
      </c>
    </row>
    <row r="309" spans="1:5" ht="14.25" customHeight="1">
      <c r="A309" s="21">
        <v>1216</v>
      </c>
      <c r="B309" s="21">
        <v>141967</v>
      </c>
      <c r="C309" s="22">
        <v>44746</v>
      </c>
      <c r="D309" s="21">
        <v>25</v>
      </c>
      <c r="E309" t="str">
        <f t="shared" si="4"/>
        <v>1216-141967-44746</v>
      </c>
    </row>
    <row r="310" spans="1:5" ht="14.25" customHeight="1">
      <c r="A310" s="21">
        <v>1210</v>
      </c>
      <c r="B310" s="21">
        <v>141967</v>
      </c>
      <c r="C310" s="22">
        <v>44746</v>
      </c>
      <c r="D310" s="21">
        <v>36</v>
      </c>
      <c r="E310" t="str">
        <f t="shared" si="4"/>
        <v>1210-141967-44746</v>
      </c>
    </row>
    <row r="311" spans="1:5" ht="14.25" customHeight="1">
      <c r="A311" s="21">
        <v>1208</v>
      </c>
      <c r="B311" s="21">
        <v>141967</v>
      </c>
      <c r="C311" s="22">
        <v>44746</v>
      </c>
      <c r="D311" s="21">
        <v>34</v>
      </c>
      <c r="E311" t="str">
        <f t="shared" si="4"/>
        <v>1208-141967-44746</v>
      </c>
    </row>
    <row r="312" spans="1:5" ht="14.25" customHeight="1">
      <c r="A312" s="21">
        <v>1205</v>
      </c>
      <c r="B312" s="21">
        <v>141967</v>
      </c>
      <c r="C312" s="22">
        <v>44746</v>
      </c>
      <c r="D312" s="21">
        <v>28</v>
      </c>
      <c r="E312" t="str">
        <f t="shared" si="4"/>
        <v>1205-141967-44746</v>
      </c>
    </row>
    <row r="313" spans="1:5" ht="14.25" customHeight="1">
      <c r="A313" s="21">
        <v>1202</v>
      </c>
      <c r="B313" s="21">
        <v>141967</v>
      </c>
      <c r="C313" s="22">
        <v>44746</v>
      </c>
      <c r="D313" s="21">
        <v>30</v>
      </c>
      <c r="E313" t="str">
        <f t="shared" si="4"/>
        <v>1202-141967-44746</v>
      </c>
    </row>
    <row r="314" spans="1:5" ht="14.25" customHeight="1">
      <c r="A314" s="21">
        <v>1218</v>
      </c>
      <c r="B314" s="21">
        <v>141967</v>
      </c>
      <c r="C314" s="22">
        <v>44739</v>
      </c>
      <c r="D314" s="21">
        <v>29</v>
      </c>
      <c r="E314" t="str">
        <f t="shared" si="4"/>
        <v>1218-141967-44739</v>
      </c>
    </row>
    <row r="315" spans="1:5" ht="14.25" customHeight="1">
      <c r="A315" s="21">
        <v>1214</v>
      </c>
      <c r="B315" s="21">
        <v>141967</v>
      </c>
      <c r="C315" s="22">
        <v>44739</v>
      </c>
      <c r="D315" s="21">
        <v>39</v>
      </c>
      <c r="E315" t="str">
        <f t="shared" si="4"/>
        <v>1214-141967-44739</v>
      </c>
    </row>
    <row r="316" spans="1:5" ht="14.25" customHeight="1">
      <c r="A316" s="21">
        <v>1207</v>
      </c>
      <c r="B316" s="21">
        <v>141967</v>
      </c>
      <c r="C316" s="22">
        <v>44739</v>
      </c>
      <c r="D316" s="21">
        <v>37</v>
      </c>
      <c r="E316" t="str">
        <f t="shared" si="4"/>
        <v>1207-141967-44739</v>
      </c>
    </row>
    <row r="317" spans="1:5" ht="14.25" customHeight="1">
      <c r="A317" s="21">
        <v>1201</v>
      </c>
      <c r="B317" s="21">
        <v>141967</v>
      </c>
      <c r="C317" s="22">
        <v>44739</v>
      </c>
      <c r="D317" s="21">
        <v>27</v>
      </c>
      <c r="E317" t="str">
        <f t="shared" si="4"/>
        <v>1201-141967-44739</v>
      </c>
    </row>
    <row r="318" spans="1:5" ht="14.25" customHeight="1">
      <c r="A318" s="21">
        <v>1214</v>
      </c>
      <c r="B318" s="21">
        <v>141846</v>
      </c>
      <c r="C318" s="22">
        <v>44753</v>
      </c>
      <c r="D318" s="21">
        <v>33</v>
      </c>
      <c r="E318" t="str">
        <f t="shared" si="4"/>
        <v>1214-141846-44753</v>
      </c>
    </row>
    <row r="319" spans="1:5" ht="14.25" customHeight="1">
      <c r="A319" s="21">
        <v>1211</v>
      </c>
      <c r="B319" s="21">
        <v>141846</v>
      </c>
      <c r="C319" s="22">
        <v>44753</v>
      </c>
      <c r="D319" s="21">
        <v>34</v>
      </c>
      <c r="E319" t="str">
        <f t="shared" si="4"/>
        <v>1211-141846-44753</v>
      </c>
    </row>
    <row r="320" spans="1:5" ht="14.25" customHeight="1">
      <c r="A320" s="21">
        <v>1207</v>
      </c>
      <c r="B320" s="21">
        <v>141846</v>
      </c>
      <c r="C320" s="22">
        <v>44753</v>
      </c>
      <c r="D320" s="21">
        <v>30</v>
      </c>
      <c r="E320" t="str">
        <f t="shared" si="4"/>
        <v>1207-141846-44753</v>
      </c>
    </row>
    <row r="321" spans="1:5" ht="14.25" customHeight="1">
      <c r="A321" s="21">
        <v>1213</v>
      </c>
      <c r="B321" s="21">
        <v>141846</v>
      </c>
      <c r="C321" s="22">
        <v>44746</v>
      </c>
      <c r="D321" s="21">
        <v>35</v>
      </c>
      <c r="E321" t="str">
        <f t="shared" si="4"/>
        <v>1213-141846-44746</v>
      </c>
    </row>
    <row r="322" spans="1:5" ht="14.25" customHeight="1">
      <c r="A322" s="21">
        <v>1203</v>
      </c>
      <c r="B322" s="21">
        <v>141846</v>
      </c>
      <c r="C322" s="22">
        <v>44746</v>
      </c>
      <c r="D322" s="21">
        <v>29</v>
      </c>
      <c r="E322" t="str">
        <f t="shared" si="4"/>
        <v>1203-141846-44746</v>
      </c>
    </row>
    <row r="323" spans="1:5" ht="14.25" customHeight="1">
      <c r="A323" s="21">
        <v>1220</v>
      </c>
      <c r="B323" s="21">
        <v>141846</v>
      </c>
      <c r="C323" s="22">
        <v>44739</v>
      </c>
      <c r="D323" s="21">
        <v>29</v>
      </c>
      <c r="E323" t="str">
        <f t="shared" ref="E323:E385" si="5">A323&amp;"-"&amp;B323&amp;"-"&amp;INT(C323)</f>
        <v>1220-141846-44739</v>
      </c>
    </row>
    <row r="324" spans="1:5" ht="14.25" customHeight="1">
      <c r="A324" s="21">
        <v>1219</v>
      </c>
      <c r="B324" s="21">
        <v>141846</v>
      </c>
      <c r="C324" s="22">
        <v>44739</v>
      </c>
      <c r="D324" s="21">
        <v>30</v>
      </c>
      <c r="E324" t="str">
        <f t="shared" si="5"/>
        <v>1219-141846-44739</v>
      </c>
    </row>
    <row r="325" spans="1:5" ht="14.25" customHeight="1">
      <c r="A325" s="21">
        <v>1206</v>
      </c>
      <c r="B325" s="21">
        <v>141846</v>
      </c>
      <c r="C325" s="22">
        <v>44739</v>
      </c>
      <c r="D325" s="21">
        <v>30</v>
      </c>
      <c r="E325" t="str">
        <f t="shared" si="5"/>
        <v>1206-141846-44739</v>
      </c>
    </row>
    <row r="326" spans="1:5" ht="14.25" customHeight="1">
      <c r="A326" s="21">
        <v>1202</v>
      </c>
      <c r="B326" s="21">
        <v>141846</v>
      </c>
      <c r="C326" s="22">
        <v>44739</v>
      </c>
      <c r="D326" s="21">
        <v>29</v>
      </c>
      <c r="E326" t="str">
        <f t="shared" si="5"/>
        <v>1202-141846-44739</v>
      </c>
    </row>
    <row r="327" spans="1:5" ht="14.25" customHeight="1">
      <c r="A327" s="21">
        <v>1201</v>
      </c>
      <c r="B327" s="21">
        <v>141846</v>
      </c>
      <c r="C327" s="22">
        <v>44739</v>
      </c>
      <c r="D327" s="21">
        <v>31</v>
      </c>
      <c r="E327" t="str">
        <f t="shared" si="5"/>
        <v>1201-141846-44739</v>
      </c>
    </row>
    <row r="328" spans="1:5" ht="14.25" customHeight="1">
      <c r="A328" s="21">
        <v>1218</v>
      </c>
      <c r="B328" s="21">
        <v>141791</v>
      </c>
      <c r="C328" s="22">
        <v>44746</v>
      </c>
      <c r="D328" s="21">
        <v>17</v>
      </c>
      <c r="E328" t="str">
        <f t="shared" si="5"/>
        <v>1218-141791-44746</v>
      </c>
    </row>
    <row r="329" spans="1:5" ht="14.25" customHeight="1">
      <c r="A329" s="21">
        <v>1216</v>
      </c>
      <c r="B329" s="21">
        <v>141791</v>
      </c>
      <c r="C329" s="22">
        <v>44746</v>
      </c>
      <c r="D329" s="21">
        <v>40</v>
      </c>
      <c r="E329" t="str">
        <f t="shared" si="5"/>
        <v>1216-141791-44746</v>
      </c>
    </row>
    <row r="330" spans="1:5" ht="14.25" customHeight="1">
      <c r="A330" s="21">
        <v>1213</v>
      </c>
      <c r="B330" s="21">
        <v>141791</v>
      </c>
      <c r="C330" s="22">
        <v>44746</v>
      </c>
      <c r="D330" s="21">
        <v>10</v>
      </c>
      <c r="E330" t="str">
        <f t="shared" si="5"/>
        <v>1213-141791-44746</v>
      </c>
    </row>
    <row r="331" spans="1:5" ht="14.25" customHeight="1">
      <c r="A331" s="21">
        <v>1209</v>
      </c>
      <c r="B331" s="21">
        <v>141791</v>
      </c>
      <c r="C331" s="22">
        <v>44746</v>
      </c>
      <c r="D331" s="21">
        <v>29</v>
      </c>
      <c r="E331" t="str">
        <f t="shared" si="5"/>
        <v>1209-141791-44746</v>
      </c>
    </row>
    <row r="332" spans="1:5" ht="14.25" customHeight="1">
      <c r="A332" s="21">
        <v>1204</v>
      </c>
      <c r="B332" s="21">
        <v>141791</v>
      </c>
      <c r="C332" s="22">
        <v>44746</v>
      </c>
      <c r="D332" s="21">
        <v>40</v>
      </c>
      <c r="E332" t="str">
        <f t="shared" si="5"/>
        <v>1204-141791-44746</v>
      </c>
    </row>
    <row r="333" spans="1:5" ht="14.25" customHeight="1">
      <c r="A333" s="21">
        <v>1203</v>
      </c>
      <c r="B333" s="21">
        <v>141791</v>
      </c>
      <c r="C333" s="22">
        <v>44746</v>
      </c>
      <c r="D333" s="21">
        <v>24</v>
      </c>
      <c r="E333" t="str">
        <f t="shared" si="5"/>
        <v>1203-141791-44746</v>
      </c>
    </row>
    <row r="334" spans="1:5" ht="14.25" customHeight="1">
      <c r="A334" s="21">
        <v>1214</v>
      </c>
      <c r="B334" s="21">
        <v>141791</v>
      </c>
      <c r="C334" s="22">
        <v>44739</v>
      </c>
      <c r="D334" s="21">
        <v>33</v>
      </c>
      <c r="E334" t="str">
        <f t="shared" si="5"/>
        <v>1214-141791-44739</v>
      </c>
    </row>
    <row r="335" spans="1:5" ht="14.25" customHeight="1">
      <c r="A335" s="21">
        <v>1211</v>
      </c>
      <c r="B335" s="21">
        <v>141791</v>
      </c>
      <c r="C335" s="22">
        <v>44739</v>
      </c>
      <c r="D335" s="21">
        <v>28</v>
      </c>
      <c r="E335" t="str">
        <f t="shared" si="5"/>
        <v>1211-141791-44739</v>
      </c>
    </row>
    <row r="336" spans="1:5" ht="14.25" customHeight="1">
      <c r="A336" s="21">
        <v>1210</v>
      </c>
      <c r="B336" s="21">
        <v>141791</v>
      </c>
      <c r="C336" s="22">
        <v>44739</v>
      </c>
      <c r="D336" s="21">
        <v>32</v>
      </c>
      <c r="E336" t="str">
        <f t="shared" si="5"/>
        <v>1210-141791-44739</v>
      </c>
    </row>
    <row r="337" spans="1:5" ht="14.25" customHeight="1">
      <c r="A337" s="21">
        <v>1207</v>
      </c>
      <c r="B337" s="21">
        <v>141791</v>
      </c>
      <c r="C337" s="22">
        <v>44739</v>
      </c>
      <c r="D337" s="21">
        <v>38</v>
      </c>
      <c r="E337" t="str">
        <f t="shared" si="5"/>
        <v>1207-141791-44739</v>
      </c>
    </row>
    <row r="338" spans="1:5" ht="14.25" customHeight="1">
      <c r="A338" s="21">
        <v>1206</v>
      </c>
      <c r="B338" s="21">
        <v>141791</v>
      </c>
      <c r="C338" s="22">
        <v>44739</v>
      </c>
      <c r="D338" s="21">
        <v>15</v>
      </c>
      <c r="E338" t="str">
        <f t="shared" si="5"/>
        <v>1206-141791-44739</v>
      </c>
    </row>
    <row r="339" spans="1:5" ht="14.25" customHeight="1">
      <c r="A339" s="21">
        <v>1201</v>
      </c>
      <c r="B339" s="21">
        <v>141791</v>
      </c>
      <c r="C339" s="22">
        <v>44739</v>
      </c>
      <c r="D339" s="21">
        <v>28</v>
      </c>
      <c r="E339" t="str">
        <f t="shared" si="5"/>
        <v>1201-141791-44739</v>
      </c>
    </row>
    <row r="340" spans="1:5" ht="14.25" customHeight="1">
      <c r="A340" s="21">
        <v>1214</v>
      </c>
      <c r="B340" s="21">
        <v>141626</v>
      </c>
      <c r="C340" s="22">
        <v>44753</v>
      </c>
      <c r="D340" s="21">
        <v>22</v>
      </c>
      <c r="E340" t="str">
        <f t="shared" si="5"/>
        <v>1214-141626-44753</v>
      </c>
    </row>
    <row r="341" spans="1:5" ht="14.25" customHeight="1">
      <c r="A341" s="21">
        <v>1206</v>
      </c>
      <c r="B341" s="21">
        <v>141626</v>
      </c>
      <c r="C341" s="22">
        <v>44753</v>
      </c>
      <c r="D341" s="21">
        <v>40</v>
      </c>
      <c r="E341" t="str">
        <f t="shared" si="5"/>
        <v>1206-141626-44753</v>
      </c>
    </row>
    <row r="342" spans="1:5" ht="14.25" customHeight="1">
      <c r="A342" s="21">
        <v>1201</v>
      </c>
      <c r="B342" s="21">
        <v>141626</v>
      </c>
      <c r="C342" s="22">
        <v>44753</v>
      </c>
      <c r="D342" s="21">
        <v>36</v>
      </c>
      <c r="E342" t="str">
        <f t="shared" si="5"/>
        <v>1201-141626-44753</v>
      </c>
    </row>
    <row r="343" spans="1:5" ht="14.25" customHeight="1">
      <c r="A343" s="21">
        <v>1208</v>
      </c>
      <c r="B343" s="21">
        <v>141626</v>
      </c>
      <c r="C343" s="22">
        <v>44746</v>
      </c>
      <c r="D343" s="21">
        <v>37</v>
      </c>
      <c r="E343" t="str">
        <f t="shared" si="5"/>
        <v>1208-141626-44746</v>
      </c>
    </row>
    <row r="344" spans="1:5" ht="14.25" customHeight="1">
      <c r="A344" s="21">
        <v>1207</v>
      </c>
      <c r="B344" s="21">
        <v>141626</v>
      </c>
      <c r="C344" s="22">
        <v>44746</v>
      </c>
      <c r="D344" s="21">
        <v>16</v>
      </c>
      <c r="E344" t="str">
        <f t="shared" si="5"/>
        <v>1207-141626-44746</v>
      </c>
    </row>
    <row r="345" spans="1:5" ht="14.25" customHeight="1">
      <c r="A345" s="21">
        <v>1205</v>
      </c>
      <c r="B345" s="21">
        <v>141626</v>
      </c>
      <c r="C345" s="22">
        <v>44746</v>
      </c>
      <c r="D345" s="21">
        <v>39</v>
      </c>
      <c r="E345" t="str">
        <f t="shared" si="5"/>
        <v>1205-141626-44746</v>
      </c>
    </row>
    <row r="346" spans="1:5" ht="14.25" customHeight="1">
      <c r="A346" s="21">
        <v>1203</v>
      </c>
      <c r="B346" s="21">
        <v>141626</v>
      </c>
      <c r="C346" s="22">
        <v>44746</v>
      </c>
      <c r="D346" s="21">
        <v>36</v>
      </c>
      <c r="E346" t="str">
        <f t="shared" si="5"/>
        <v>1203-141626-44746</v>
      </c>
    </row>
    <row r="347" spans="1:5" ht="14.25" customHeight="1">
      <c r="A347" s="21">
        <v>1220</v>
      </c>
      <c r="B347" s="21">
        <v>141626</v>
      </c>
      <c r="C347" s="22">
        <v>44739</v>
      </c>
      <c r="D347" s="21">
        <v>35</v>
      </c>
      <c r="E347" t="str">
        <f t="shared" si="5"/>
        <v>1220-141626-44739</v>
      </c>
    </row>
    <row r="348" spans="1:5" ht="14.25" customHeight="1">
      <c r="A348" s="21">
        <v>1216</v>
      </c>
      <c r="B348" s="21">
        <v>141626</v>
      </c>
      <c r="C348" s="22">
        <v>44739</v>
      </c>
      <c r="D348" s="21">
        <v>25</v>
      </c>
      <c r="E348" t="str">
        <f t="shared" si="5"/>
        <v>1216-141626-44739</v>
      </c>
    </row>
    <row r="349" spans="1:5" ht="14.25" customHeight="1">
      <c r="A349" s="21">
        <v>1213</v>
      </c>
      <c r="B349" s="21">
        <v>141626</v>
      </c>
      <c r="C349" s="22">
        <v>44739</v>
      </c>
      <c r="D349" s="21">
        <v>40</v>
      </c>
      <c r="E349" t="str">
        <f t="shared" si="5"/>
        <v>1213-141626-44739</v>
      </c>
    </row>
    <row r="350" spans="1:5" ht="14.25" customHeight="1">
      <c r="A350" s="21">
        <v>1210</v>
      </c>
      <c r="B350" s="21">
        <v>141626</v>
      </c>
      <c r="C350" s="22">
        <v>44739</v>
      </c>
      <c r="D350" s="21">
        <v>33</v>
      </c>
      <c r="E350" t="str">
        <f t="shared" si="5"/>
        <v>1210-141626-44739</v>
      </c>
    </row>
    <row r="351" spans="1:5" ht="14.25" customHeight="1">
      <c r="A351" s="21">
        <v>1209</v>
      </c>
      <c r="B351" s="21">
        <v>141626</v>
      </c>
      <c r="C351" s="22">
        <v>44739</v>
      </c>
      <c r="D351" s="21">
        <v>37</v>
      </c>
      <c r="E351" t="str">
        <f t="shared" si="5"/>
        <v>1209-141626-44739</v>
      </c>
    </row>
    <row r="352" spans="1:5" ht="14.25" customHeight="1">
      <c r="A352" s="21">
        <v>1218</v>
      </c>
      <c r="B352" s="21">
        <v>141622</v>
      </c>
      <c r="C352" s="22">
        <v>44753</v>
      </c>
      <c r="D352" s="21">
        <v>35</v>
      </c>
      <c r="E352" t="str">
        <f t="shared" si="5"/>
        <v>1218-141622-44753</v>
      </c>
    </row>
    <row r="353" spans="1:5" ht="14.25" customHeight="1">
      <c r="A353" s="21">
        <v>1211</v>
      </c>
      <c r="B353" s="21">
        <v>141622</v>
      </c>
      <c r="C353" s="22">
        <v>44753</v>
      </c>
      <c r="D353" s="21">
        <v>21</v>
      </c>
      <c r="E353" t="str">
        <f t="shared" si="5"/>
        <v>1211-141622-44753</v>
      </c>
    </row>
    <row r="354" spans="1:5" ht="14.25" customHeight="1">
      <c r="A354" s="21">
        <v>1202</v>
      </c>
      <c r="B354" s="21">
        <v>141622</v>
      </c>
      <c r="C354" s="22">
        <v>44753</v>
      </c>
      <c r="D354" s="21">
        <v>31</v>
      </c>
      <c r="E354" t="str">
        <f t="shared" si="5"/>
        <v>1202-141622-44753</v>
      </c>
    </row>
    <row r="355" spans="1:5" ht="14.25" customHeight="1">
      <c r="A355" s="21">
        <v>1220</v>
      </c>
      <c r="B355" s="21">
        <v>141622</v>
      </c>
      <c r="C355" s="22">
        <v>44746</v>
      </c>
      <c r="D355" s="21">
        <v>34</v>
      </c>
      <c r="E355" t="str">
        <f t="shared" si="5"/>
        <v>1220-141622-44746</v>
      </c>
    </row>
    <row r="356" spans="1:5" ht="14.25" customHeight="1">
      <c r="A356" s="21">
        <v>1216</v>
      </c>
      <c r="B356" s="21">
        <v>141622</v>
      </c>
      <c r="C356" s="22">
        <v>44746</v>
      </c>
      <c r="D356" s="21">
        <v>33</v>
      </c>
      <c r="E356" t="str">
        <f t="shared" si="5"/>
        <v>1216-141622-44746</v>
      </c>
    </row>
    <row r="357" spans="1:5" ht="14.25" customHeight="1">
      <c r="A357" s="21">
        <v>1206</v>
      </c>
      <c r="B357" s="21">
        <v>141622</v>
      </c>
      <c r="C357" s="22">
        <v>44746</v>
      </c>
      <c r="D357" s="21">
        <v>15</v>
      </c>
      <c r="E357" t="str">
        <f t="shared" si="5"/>
        <v>1206-141622-44746</v>
      </c>
    </row>
    <row r="358" spans="1:5" ht="14.25" customHeight="1">
      <c r="A358" s="21">
        <v>1210</v>
      </c>
      <c r="B358" s="21">
        <v>141622</v>
      </c>
      <c r="C358" s="22">
        <v>44739</v>
      </c>
      <c r="D358" s="21">
        <v>36</v>
      </c>
      <c r="E358" t="str">
        <f t="shared" si="5"/>
        <v>1210-141622-44739</v>
      </c>
    </row>
    <row r="359" spans="1:5" ht="14.25" customHeight="1">
      <c r="A359" s="21">
        <v>1214</v>
      </c>
      <c r="B359" s="21">
        <v>129208</v>
      </c>
      <c r="C359" s="22">
        <v>44753</v>
      </c>
      <c r="D359" s="21">
        <v>19</v>
      </c>
      <c r="E359" t="str">
        <f t="shared" si="5"/>
        <v>1214-129208-44753</v>
      </c>
    </row>
    <row r="360" spans="1:5" ht="14.25" customHeight="1">
      <c r="A360" s="21">
        <v>1210</v>
      </c>
      <c r="B360" s="21">
        <v>129208</v>
      </c>
      <c r="C360" s="22">
        <v>44753</v>
      </c>
      <c r="D360" s="21">
        <v>28</v>
      </c>
      <c r="E360" t="str">
        <f t="shared" si="5"/>
        <v>1210-129208-44753</v>
      </c>
    </row>
    <row r="361" spans="1:5" ht="14.25" customHeight="1">
      <c r="A361" s="21">
        <v>1207</v>
      </c>
      <c r="B361" s="21">
        <v>129208</v>
      </c>
      <c r="C361" s="22">
        <v>44753</v>
      </c>
      <c r="D361" s="21">
        <v>18</v>
      </c>
      <c r="E361" t="str">
        <f t="shared" si="5"/>
        <v>1207-129208-44753</v>
      </c>
    </row>
    <row r="362" spans="1:5" ht="14.25" customHeight="1">
      <c r="A362" s="21">
        <v>1205</v>
      </c>
      <c r="B362" s="21">
        <v>129208</v>
      </c>
      <c r="C362" s="22">
        <v>44753</v>
      </c>
      <c r="D362" s="21">
        <v>10</v>
      </c>
      <c r="E362" t="str">
        <f t="shared" si="5"/>
        <v>1205-129208-44753</v>
      </c>
    </row>
    <row r="363" spans="1:5" ht="14.25" customHeight="1">
      <c r="A363" s="21">
        <v>1204</v>
      </c>
      <c r="B363" s="21">
        <v>129208</v>
      </c>
      <c r="C363" s="22">
        <v>44753</v>
      </c>
      <c r="D363" s="21">
        <v>31</v>
      </c>
      <c r="E363" t="str">
        <f t="shared" si="5"/>
        <v>1204-129208-44753</v>
      </c>
    </row>
    <row r="364" spans="1:5" ht="14.25" customHeight="1">
      <c r="A364" s="21">
        <v>1203</v>
      </c>
      <c r="B364" s="21">
        <v>129208</v>
      </c>
      <c r="C364" s="22">
        <v>44753</v>
      </c>
      <c r="D364" s="21">
        <v>14</v>
      </c>
      <c r="E364" t="str">
        <f t="shared" si="5"/>
        <v>1203-129208-44753</v>
      </c>
    </row>
    <row r="365" spans="1:5" ht="14.25" customHeight="1">
      <c r="A365" s="21">
        <v>1218</v>
      </c>
      <c r="B365" s="21">
        <v>129208</v>
      </c>
      <c r="C365" s="22">
        <v>44746</v>
      </c>
      <c r="D365" s="21">
        <v>12</v>
      </c>
      <c r="E365" t="str">
        <f t="shared" si="5"/>
        <v>1218-129208-44746</v>
      </c>
    </row>
    <row r="366" spans="1:5" ht="14.25" customHeight="1">
      <c r="A366" s="21">
        <v>1213</v>
      </c>
      <c r="B366" s="21">
        <v>129208</v>
      </c>
      <c r="C366" s="22">
        <v>44746</v>
      </c>
      <c r="D366" s="21">
        <v>10</v>
      </c>
      <c r="E366" t="str">
        <f t="shared" si="5"/>
        <v>1213-129208-44746</v>
      </c>
    </row>
    <row r="367" spans="1:5" ht="14.25" customHeight="1">
      <c r="A367" s="21">
        <v>1206</v>
      </c>
      <c r="B367" s="21">
        <v>129208</v>
      </c>
      <c r="C367" s="22">
        <v>44746</v>
      </c>
      <c r="D367" s="21">
        <v>16</v>
      </c>
      <c r="E367" t="str">
        <f t="shared" si="5"/>
        <v>1206-129208-44746</v>
      </c>
    </row>
    <row r="368" spans="1:5" ht="14.25" customHeight="1">
      <c r="A368" s="21">
        <v>1201</v>
      </c>
      <c r="B368" s="21">
        <v>129208</v>
      </c>
      <c r="C368" s="22">
        <v>44746</v>
      </c>
      <c r="D368" s="21">
        <v>20</v>
      </c>
      <c r="E368" t="str">
        <f t="shared" si="5"/>
        <v>1201-129208-44746</v>
      </c>
    </row>
    <row r="369" spans="1:5" ht="14.25" customHeight="1">
      <c r="A369" s="21">
        <v>1220</v>
      </c>
      <c r="B369" s="21">
        <v>129208</v>
      </c>
      <c r="C369" s="22">
        <v>44739</v>
      </c>
      <c r="D369" s="21">
        <v>27</v>
      </c>
      <c r="E369" t="str">
        <f t="shared" si="5"/>
        <v>1220-129208-44739</v>
      </c>
    </row>
    <row r="370" spans="1:5" ht="14.25" customHeight="1">
      <c r="A370" s="21">
        <v>1219</v>
      </c>
      <c r="B370" s="21">
        <v>129208</v>
      </c>
      <c r="C370" s="22">
        <v>44739</v>
      </c>
      <c r="D370" s="21">
        <v>26</v>
      </c>
      <c r="E370" t="str">
        <f t="shared" si="5"/>
        <v>1219-129208-44739</v>
      </c>
    </row>
    <row r="371" spans="1:5" ht="14.25" customHeight="1">
      <c r="A371" s="21">
        <v>1216</v>
      </c>
      <c r="B371" s="21">
        <v>129208</v>
      </c>
      <c r="C371" s="22">
        <v>44739</v>
      </c>
      <c r="D371" s="21">
        <v>17</v>
      </c>
      <c r="E371" t="str">
        <f t="shared" si="5"/>
        <v>1216-129208-44739</v>
      </c>
    </row>
    <row r="372" spans="1:5" ht="14.25" customHeight="1">
      <c r="A372" s="21">
        <v>1202</v>
      </c>
      <c r="B372" s="21">
        <v>129208</v>
      </c>
      <c r="C372" s="22">
        <v>44739</v>
      </c>
      <c r="D372" s="21">
        <v>38</v>
      </c>
      <c r="E372" t="str">
        <f t="shared" si="5"/>
        <v>1202-129208-44739</v>
      </c>
    </row>
    <row r="373" spans="1:5" ht="14.25" customHeight="1">
      <c r="A373" s="21">
        <v>1218</v>
      </c>
      <c r="B373" s="21">
        <v>115600</v>
      </c>
      <c r="C373" s="22">
        <v>44753</v>
      </c>
      <c r="D373" s="21">
        <v>27</v>
      </c>
      <c r="E373" t="str">
        <f t="shared" si="5"/>
        <v>1218-115600-44753</v>
      </c>
    </row>
    <row r="374" spans="1:5" ht="14.25" customHeight="1">
      <c r="A374" s="21">
        <v>1210</v>
      </c>
      <c r="B374" s="21">
        <v>115600</v>
      </c>
      <c r="C374" s="22">
        <v>44753</v>
      </c>
      <c r="D374" s="21">
        <v>29</v>
      </c>
      <c r="E374" t="str">
        <f t="shared" si="5"/>
        <v>1210-115600-44753</v>
      </c>
    </row>
    <row r="375" spans="1:5" ht="14.25" customHeight="1">
      <c r="A375" s="21">
        <v>1203</v>
      </c>
      <c r="B375" s="21">
        <v>115600</v>
      </c>
      <c r="C375" s="22">
        <v>44753</v>
      </c>
      <c r="D375" s="21">
        <v>36</v>
      </c>
      <c r="E375" t="str">
        <f t="shared" si="5"/>
        <v>1203-115600-44753</v>
      </c>
    </row>
    <row r="376" spans="1:5" ht="14.25" customHeight="1">
      <c r="A376" s="21">
        <v>1201</v>
      </c>
      <c r="B376" s="21">
        <v>115600</v>
      </c>
      <c r="C376" s="22">
        <v>44753</v>
      </c>
      <c r="D376" s="21">
        <v>18</v>
      </c>
      <c r="E376" t="str">
        <f t="shared" si="5"/>
        <v>1201-115600-44753</v>
      </c>
    </row>
    <row r="377" spans="1:5" ht="14.25" customHeight="1">
      <c r="A377" s="21">
        <v>1220</v>
      </c>
      <c r="B377" s="21">
        <v>115600</v>
      </c>
      <c r="C377" s="22">
        <v>44746</v>
      </c>
      <c r="D377" s="21">
        <v>27</v>
      </c>
      <c r="E377" t="str">
        <f t="shared" si="5"/>
        <v>1220-115600-44746</v>
      </c>
    </row>
    <row r="378" spans="1:5" ht="14.25" customHeight="1">
      <c r="A378" s="21">
        <v>1219</v>
      </c>
      <c r="B378" s="21">
        <v>115600</v>
      </c>
      <c r="C378" s="22">
        <v>44746</v>
      </c>
      <c r="D378" s="21">
        <v>26</v>
      </c>
      <c r="E378" t="str">
        <f t="shared" si="5"/>
        <v>1219-115600-44746</v>
      </c>
    </row>
    <row r="379" spans="1:5" ht="14.25" customHeight="1">
      <c r="A379" s="21">
        <v>1214</v>
      </c>
      <c r="B379" s="21">
        <v>115600</v>
      </c>
      <c r="C379" s="22">
        <v>44746</v>
      </c>
      <c r="D379" s="21">
        <v>27</v>
      </c>
      <c r="E379" t="str">
        <f t="shared" si="5"/>
        <v>1214-115600-44746</v>
      </c>
    </row>
    <row r="380" spans="1:5" ht="14.25" customHeight="1">
      <c r="A380" s="21">
        <v>1213</v>
      </c>
      <c r="B380" s="21">
        <v>115600</v>
      </c>
      <c r="C380" s="22">
        <v>44746</v>
      </c>
      <c r="D380" s="21">
        <v>37</v>
      </c>
      <c r="E380" t="str">
        <f t="shared" si="5"/>
        <v>1213-115600-44746</v>
      </c>
    </row>
    <row r="381" spans="1:5" ht="14.25" customHeight="1">
      <c r="A381" s="21">
        <v>1209</v>
      </c>
      <c r="B381" s="21">
        <v>115600</v>
      </c>
      <c r="C381" s="22">
        <v>44746</v>
      </c>
      <c r="D381" s="21">
        <v>18</v>
      </c>
      <c r="E381" t="str">
        <f t="shared" si="5"/>
        <v>1209-115600-44746</v>
      </c>
    </row>
    <row r="382" spans="1:5" ht="14.25" customHeight="1">
      <c r="A382" s="21">
        <v>1204</v>
      </c>
      <c r="B382" s="21">
        <v>115600</v>
      </c>
      <c r="C382" s="22">
        <v>44746</v>
      </c>
      <c r="D382" s="21">
        <v>29</v>
      </c>
      <c r="E382" t="str">
        <f t="shared" si="5"/>
        <v>1204-115600-44746</v>
      </c>
    </row>
    <row r="383" spans="1:5" ht="14.25" customHeight="1">
      <c r="A383" s="21">
        <v>1211</v>
      </c>
      <c r="B383" s="21">
        <v>115600</v>
      </c>
      <c r="C383" s="22">
        <v>44739</v>
      </c>
      <c r="D383" s="21">
        <v>39</v>
      </c>
      <c r="E383" t="str">
        <f t="shared" si="5"/>
        <v>1211-115600-44739</v>
      </c>
    </row>
    <row r="384" spans="1:5" ht="14.25" customHeight="1">
      <c r="A384" s="21">
        <v>1206</v>
      </c>
      <c r="B384" s="21">
        <v>115600</v>
      </c>
      <c r="C384" s="22">
        <v>44739</v>
      </c>
      <c r="D384" s="21">
        <v>29</v>
      </c>
      <c r="E384" t="str">
        <f t="shared" si="5"/>
        <v>1206-115600-44739</v>
      </c>
    </row>
    <row r="385" spans="1:5" ht="14.25" customHeight="1">
      <c r="A385" s="21">
        <v>1202</v>
      </c>
      <c r="B385" s="21">
        <v>115600</v>
      </c>
      <c r="C385" s="22">
        <v>44739</v>
      </c>
      <c r="D385" s="21">
        <v>29</v>
      </c>
      <c r="E385" t="str">
        <f t="shared" si="5"/>
        <v>1202-115600-44739</v>
      </c>
    </row>
    <row r="386" spans="1:5" ht="14.25" customHeight="1">
      <c r="A386" s="5"/>
      <c r="B386" s="5"/>
      <c r="C386" s="14"/>
      <c r="D386" s="5"/>
    </row>
    <row r="387" spans="1:5" ht="14.25" customHeight="1">
      <c r="A387" s="5"/>
      <c r="B387" s="5"/>
      <c r="C387" s="14"/>
      <c r="D387" s="5"/>
    </row>
    <row r="388" spans="1:5" ht="14.25" customHeight="1">
      <c r="A388" s="5"/>
      <c r="B388" s="5"/>
      <c r="C388" s="14"/>
      <c r="D388" s="5"/>
    </row>
    <row r="389" spans="1:5" ht="14.25" customHeight="1">
      <c r="A389" s="5"/>
      <c r="B389" s="5"/>
      <c r="C389" s="14"/>
      <c r="D389" s="5"/>
    </row>
    <row r="390" spans="1:5" ht="14.25" customHeight="1">
      <c r="A390" s="5"/>
      <c r="B390" s="5"/>
      <c r="C390" s="14"/>
      <c r="D390" s="5"/>
    </row>
    <row r="391" spans="1:5" ht="14.25" customHeight="1">
      <c r="A391" s="5"/>
      <c r="B391" s="5"/>
      <c r="C391" s="14"/>
      <c r="D391" s="5"/>
    </row>
    <row r="392" spans="1:5" ht="14.25" customHeight="1">
      <c r="A392" s="5"/>
      <c r="B392" s="5"/>
      <c r="C392" s="14"/>
      <c r="D392" s="5"/>
    </row>
    <row r="393" spans="1:5" ht="14.25" customHeight="1">
      <c r="A393" s="5"/>
      <c r="B393" s="5"/>
      <c r="C393" s="14"/>
      <c r="D393" s="5"/>
    </row>
    <row r="394" spans="1:5" ht="14.25" customHeight="1">
      <c r="A394" s="5"/>
      <c r="B394" s="5"/>
      <c r="C394" s="14"/>
      <c r="D394" s="5"/>
    </row>
    <row r="395" spans="1:5" ht="14.25" customHeight="1">
      <c r="A395" s="5"/>
      <c r="B395" s="5"/>
      <c r="C395" s="14"/>
      <c r="D395" s="5"/>
    </row>
    <row r="396" spans="1:5" ht="14.25" customHeight="1">
      <c r="A396" s="5"/>
      <c r="B396" s="5"/>
      <c r="C396" s="14"/>
      <c r="D396" s="5"/>
    </row>
    <row r="397" spans="1:5" ht="14.25" customHeight="1">
      <c r="A397" s="5"/>
      <c r="B397" s="5"/>
      <c r="C397" s="14"/>
      <c r="D397" s="5"/>
    </row>
    <row r="398" spans="1:5" ht="14.25" customHeight="1">
      <c r="A398" s="5"/>
      <c r="B398" s="5"/>
      <c r="C398" s="14"/>
      <c r="D398" s="5"/>
    </row>
    <row r="399" spans="1:5" ht="14.25" customHeight="1">
      <c r="A399" s="5"/>
      <c r="B399" s="5"/>
      <c r="C399" s="14"/>
      <c r="D399" s="5"/>
    </row>
    <row r="400" spans="1:5" ht="14.25" customHeight="1">
      <c r="A400" s="5"/>
      <c r="B400" s="5"/>
      <c r="C400" s="14"/>
      <c r="D400" s="5"/>
    </row>
    <row r="401" spans="1:4" ht="14.25" customHeight="1">
      <c r="A401" s="5"/>
      <c r="B401" s="5"/>
      <c r="C401" s="14"/>
      <c r="D401" s="5"/>
    </row>
    <row r="402" spans="1:4" ht="14.25" customHeight="1">
      <c r="A402" s="5"/>
      <c r="B402" s="5"/>
      <c r="C402" s="14"/>
      <c r="D402" s="5"/>
    </row>
    <row r="403" spans="1:4" ht="14.25" customHeight="1">
      <c r="A403" s="5"/>
      <c r="B403" s="5"/>
      <c r="C403" s="14"/>
      <c r="D403" s="5"/>
    </row>
    <row r="404" spans="1:4" ht="14.25" customHeight="1">
      <c r="A404" s="5"/>
      <c r="B404" s="5"/>
      <c r="C404" s="14"/>
      <c r="D404" s="5"/>
    </row>
    <row r="405" spans="1:4" ht="14.25" customHeight="1">
      <c r="A405" s="5"/>
      <c r="B405" s="5"/>
      <c r="C405" s="14"/>
      <c r="D405" s="5"/>
    </row>
    <row r="406" spans="1:4" ht="14.25" customHeight="1">
      <c r="A406" s="5"/>
      <c r="B406" s="5"/>
      <c r="C406" s="14"/>
      <c r="D406" s="5"/>
    </row>
    <row r="407" spans="1:4" ht="14.25" customHeight="1">
      <c r="A407" s="5"/>
      <c r="B407" s="5"/>
      <c r="C407" s="14"/>
      <c r="D407" s="5"/>
    </row>
    <row r="408" spans="1:4" ht="14.25" customHeight="1">
      <c r="A408" s="5"/>
      <c r="B408" s="5"/>
      <c r="C408" s="14"/>
      <c r="D408" s="5"/>
    </row>
    <row r="409" spans="1:4" ht="14.25" customHeight="1">
      <c r="A409" s="5"/>
      <c r="B409" s="5"/>
      <c r="C409" s="14"/>
      <c r="D409" s="5"/>
    </row>
    <row r="410" spans="1:4" ht="14.25" customHeight="1">
      <c r="A410" s="5"/>
      <c r="B410" s="5"/>
      <c r="C410" s="14"/>
      <c r="D410" s="5"/>
    </row>
    <row r="411" spans="1:4" ht="14.25" customHeight="1">
      <c r="A411" s="5"/>
      <c r="B411" s="5"/>
      <c r="C411" s="14"/>
      <c r="D411" s="5"/>
    </row>
    <row r="412" spans="1:4" ht="14.25" customHeight="1">
      <c r="A412" s="5"/>
      <c r="B412" s="5"/>
      <c r="C412" s="14"/>
      <c r="D412" s="5"/>
    </row>
    <row r="413" spans="1:4" ht="14.25" customHeight="1">
      <c r="A413" s="5"/>
      <c r="B413" s="5"/>
      <c r="C413" s="14"/>
      <c r="D413" s="5"/>
    </row>
    <row r="414" spans="1:4" ht="14.25" customHeight="1">
      <c r="A414" s="5"/>
      <c r="B414" s="5"/>
      <c r="C414" s="14"/>
      <c r="D414" s="5"/>
    </row>
    <row r="415" spans="1:4" ht="14.25" customHeight="1">
      <c r="A415" s="5"/>
      <c r="B415" s="5"/>
      <c r="C415" s="14"/>
      <c r="D415" s="5"/>
    </row>
    <row r="416" spans="1:4" ht="14.25" customHeight="1">
      <c r="A416" s="5"/>
      <c r="B416" s="5"/>
      <c r="C416" s="14"/>
      <c r="D416" s="5"/>
    </row>
    <row r="417" spans="1:4" ht="14.25" customHeight="1">
      <c r="A417" s="5"/>
      <c r="B417" s="5"/>
      <c r="C417" s="14"/>
      <c r="D417" s="5"/>
    </row>
    <row r="418" spans="1:4" ht="14.25" customHeight="1">
      <c r="A418" s="5"/>
      <c r="B418" s="5"/>
      <c r="C418" s="14"/>
      <c r="D418" s="5"/>
    </row>
    <row r="419" spans="1:4" ht="14.25" customHeight="1">
      <c r="A419" s="5"/>
      <c r="B419" s="5"/>
      <c r="C419" s="14"/>
      <c r="D419" s="5"/>
    </row>
    <row r="420" spans="1:4" ht="14.25" customHeight="1">
      <c r="A420" s="5"/>
      <c r="B420" s="5"/>
      <c r="C420" s="14"/>
      <c r="D420" s="5"/>
    </row>
    <row r="421" spans="1:4" ht="14.25" customHeight="1">
      <c r="A421" s="5"/>
      <c r="B421" s="5"/>
      <c r="C421" s="14"/>
      <c r="D421" s="5"/>
    </row>
    <row r="422" spans="1:4" ht="14.25" customHeight="1">
      <c r="A422" s="5"/>
      <c r="B422" s="5"/>
      <c r="C422" s="14"/>
      <c r="D422" s="5"/>
    </row>
    <row r="423" spans="1:4" ht="14.25" customHeight="1">
      <c r="A423" s="5"/>
      <c r="B423" s="5"/>
      <c r="C423" s="14"/>
      <c r="D423" s="5"/>
    </row>
    <row r="424" spans="1:4" ht="14.25" customHeight="1">
      <c r="A424" s="5"/>
      <c r="B424" s="5"/>
      <c r="C424" s="14"/>
      <c r="D424" s="5"/>
    </row>
    <row r="425" spans="1:4" ht="14.25" customHeight="1">
      <c r="A425" s="5"/>
      <c r="B425" s="5"/>
      <c r="C425" s="14"/>
      <c r="D425" s="5"/>
    </row>
    <row r="426" spans="1:4" ht="14.25" customHeight="1">
      <c r="A426" s="5"/>
      <c r="B426" s="5"/>
      <c r="C426" s="14"/>
      <c r="D426" s="5"/>
    </row>
    <row r="427" spans="1:4" ht="14.25" customHeight="1">
      <c r="A427" s="5"/>
      <c r="B427" s="5"/>
      <c r="C427" s="14"/>
      <c r="D427" s="5"/>
    </row>
    <row r="428" spans="1:4" ht="14.25" customHeight="1">
      <c r="A428" s="5"/>
      <c r="B428" s="5"/>
      <c r="C428" s="14"/>
      <c r="D428" s="5"/>
    </row>
    <row r="429" spans="1:4" ht="14.25" customHeight="1">
      <c r="A429" s="5"/>
      <c r="B429" s="5"/>
      <c r="C429" s="14"/>
      <c r="D429" s="5"/>
    </row>
    <row r="430" spans="1:4" ht="14.25" customHeight="1">
      <c r="A430" s="5"/>
      <c r="B430" s="5"/>
      <c r="C430" s="14"/>
      <c r="D430" s="5"/>
    </row>
    <row r="431" spans="1:4" ht="14.25" customHeight="1">
      <c r="A431" s="5"/>
      <c r="B431" s="5"/>
      <c r="C431" s="14"/>
      <c r="D431" s="5"/>
    </row>
    <row r="432" spans="1:4" ht="14.25" customHeight="1">
      <c r="A432" s="5"/>
      <c r="B432" s="5"/>
      <c r="C432" s="14"/>
      <c r="D432" s="5"/>
    </row>
    <row r="433" spans="1:4" ht="14.25" customHeight="1">
      <c r="A433" s="5"/>
      <c r="B433" s="5"/>
      <c r="C433" s="14"/>
      <c r="D433" s="5"/>
    </row>
    <row r="434" spans="1:4" ht="14.25" customHeight="1">
      <c r="A434" s="5"/>
      <c r="B434" s="5"/>
      <c r="C434" s="14"/>
      <c r="D434" s="5"/>
    </row>
    <row r="435" spans="1:4" ht="14.25" customHeight="1">
      <c r="A435" s="5"/>
      <c r="B435" s="5"/>
      <c r="C435" s="14"/>
      <c r="D435" s="5"/>
    </row>
    <row r="436" spans="1:4" ht="14.25" customHeight="1">
      <c r="A436" s="5"/>
      <c r="B436" s="5"/>
      <c r="C436" s="14"/>
      <c r="D436" s="5"/>
    </row>
    <row r="437" spans="1:4" ht="14.25" customHeight="1">
      <c r="A437" s="5"/>
      <c r="B437" s="5"/>
      <c r="C437" s="14"/>
      <c r="D437" s="5"/>
    </row>
    <row r="438" spans="1:4" ht="14.25" customHeight="1">
      <c r="A438" s="5"/>
      <c r="B438" s="5"/>
      <c r="C438" s="14"/>
      <c r="D438" s="5"/>
    </row>
    <row r="439" spans="1:4" ht="14.25" customHeight="1">
      <c r="A439" s="5"/>
      <c r="B439" s="5"/>
      <c r="C439" s="14"/>
      <c r="D439" s="5"/>
    </row>
    <row r="440" spans="1:4" ht="14.25" customHeight="1">
      <c r="A440" s="5"/>
      <c r="B440" s="5"/>
      <c r="C440" s="14"/>
      <c r="D440" s="5"/>
    </row>
    <row r="441" spans="1:4" ht="14.25" customHeight="1">
      <c r="A441" s="5"/>
      <c r="B441" s="5"/>
      <c r="C441" s="14"/>
      <c r="D441" s="5"/>
    </row>
    <row r="442" spans="1:4" ht="14.25" customHeight="1">
      <c r="A442" s="5"/>
      <c r="B442" s="5"/>
      <c r="C442" s="14"/>
      <c r="D442" s="5"/>
    </row>
    <row r="443" spans="1:4" ht="14.25" customHeight="1">
      <c r="A443" s="5"/>
      <c r="B443" s="5"/>
      <c r="C443" s="14"/>
      <c r="D443" s="5"/>
    </row>
    <row r="444" spans="1:4" ht="14.25" customHeight="1">
      <c r="A444" s="5"/>
      <c r="B444" s="5"/>
      <c r="C444" s="14"/>
      <c r="D444" s="5"/>
    </row>
    <row r="445" spans="1:4" ht="14.25" customHeight="1">
      <c r="A445" s="5"/>
      <c r="B445" s="5"/>
      <c r="C445" s="14"/>
      <c r="D445" s="5"/>
    </row>
    <row r="446" spans="1:4" ht="14.25" customHeight="1">
      <c r="A446" s="5"/>
      <c r="B446" s="5"/>
      <c r="C446" s="14"/>
      <c r="D446" s="5"/>
    </row>
    <row r="447" spans="1:4" ht="14.25" customHeight="1">
      <c r="A447" s="5"/>
      <c r="B447" s="5"/>
      <c r="C447" s="14"/>
      <c r="D447" s="5"/>
    </row>
    <row r="448" spans="1:4" ht="14.25" customHeight="1">
      <c r="A448" s="5"/>
      <c r="B448" s="5"/>
      <c r="C448" s="14"/>
      <c r="D448" s="5"/>
    </row>
    <row r="449" spans="1:4" ht="14.25" customHeight="1">
      <c r="A449" s="5"/>
      <c r="B449" s="5"/>
      <c r="C449" s="14"/>
      <c r="D449" s="5"/>
    </row>
    <row r="450" spans="1:4" ht="14.25" customHeight="1">
      <c r="A450" s="5"/>
      <c r="B450" s="5"/>
      <c r="C450" s="14"/>
      <c r="D450" s="5"/>
    </row>
    <row r="451" spans="1:4" ht="14.25" customHeight="1">
      <c r="A451" s="5"/>
      <c r="B451" s="5"/>
      <c r="C451" s="14"/>
      <c r="D451" s="5"/>
    </row>
    <row r="452" spans="1:4" ht="14.25" customHeight="1">
      <c r="A452" s="5"/>
      <c r="B452" s="5"/>
      <c r="C452" s="14"/>
      <c r="D452" s="5"/>
    </row>
    <row r="453" spans="1:4" ht="14.25" customHeight="1">
      <c r="A453" s="5"/>
      <c r="B453" s="5"/>
      <c r="C453" s="14"/>
      <c r="D453" s="5"/>
    </row>
    <row r="454" spans="1:4" ht="14.25" customHeight="1">
      <c r="A454" s="5"/>
      <c r="B454" s="5"/>
      <c r="C454" s="14"/>
      <c r="D454" s="5"/>
    </row>
    <row r="455" spans="1:4" ht="14.25" customHeight="1">
      <c r="A455" s="5"/>
      <c r="B455" s="5"/>
      <c r="C455" s="14"/>
      <c r="D455" s="5"/>
    </row>
    <row r="456" spans="1:4" ht="14.25" customHeight="1">
      <c r="A456" s="5"/>
      <c r="B456" s="5"/>
      <c r="C456" s="14"/>
      <c r="D456" s="5"/>
    </row>
    <row r="457" spans="1:4" ht="14.25" customHeight="1">
      <c r="A457" s="5"/>
      <c r="B457" s="5"/>
      <c r="C457" s="14"/>
      <c r="D457" s="5"/>
    </row>
    <row r="458" spans="1:4" ht="14.25" customHeight="1">
      <c r="A458" s="5"/>
      <c r="B458" s="5"/>
      <c r="C458" s="14"/>
      <c r="D458" s="5"/>
    </row>
    <row r="459" spans="1:4" ht="14.25" customHeight="1">
      <c r="A459" s="5"/>
      <c r="B459" s="5"/>
      <c r="C459" s="14"/>
      <c r="D459" s="5"/>
    </row>
    <row r="460" spans="1:4" ht="14.25" customHeight="1">
      <c r="A460" s="5"/>
      <c r="B460" s="5"/>
      <c r="C460" s="14"/>
      <c r="D460" s="5"/>
    </row>
    <row r="461" spans="1:4" ht="14.25" customHeight="1">
      <c r="A461" s="5"/>
      <c r="B461" s="5"/>
      <c r="C461" s="14"/>
      <c r="D461" s="5"/>
    </row>
    <row r="462" spans="1:4" ht="14.25" customHeight="1">
      <c r="A462" s="5"/>
      <c r="B462" s="5"/>
      <c r="C462" s="14"/>
      <c r="D462" s="5"/>
    </row>
    <row r="463" spans="1:4" ht="14.25" customHeight="1">
      <c r="A463" s="5"/>
      <c r="B463" s="5"/>
      <c r="C463" s="14"/>
      <c r="D463" s="5"/>
    </row>
    <row r="464" spans="1:4" ht="14.25" customHeight="1">
      <c r="A464" s="5"/>
      <c r="B464" s="5"/>
      <c r="C464" s="14"/>
      <c r="D464" s="5"/>
    </row>
    <row r="465" spans="1:4" ht="14.25" customHeight="1">
      <c r="A465" s="5"/>
      <c r="B465" s="5"/>
      <c r="C465" s="14"/>
      <c r="D465" s="5"/>
    </row>
    <row r="466" spans="1:4" ht="14.25" customHeight="1">
      <c r="A466" s="5"/>
      <c r="B466" s="5"/>
      <c r="C466" s="14"/>
      <c r="D466" s="5"/>
    </row>
    <row r="467" spans="1:4" ht="14.25" customHeight="1">
      <c r="A467" s="5"/>
      <c r="B467" s="5"/>
      <c r="C467" s="14"/>
      <c r="D467" s="5"/>
    </row>
    <row r="468" spans="1:4" ht="14.25" customHeight="1">
      <c r="A468" s="5"/>
      <c r="B468" s="5"/>
      <c r="C468" s="14"/>
      <c r="D468" s="5"/>
    </row>
    <row r="469" spans="1:4" ht="14.25" customHeight="1">
      <c r="A469" s="5"/>
      <c r="B469" s="5"/>
      <c r="C469" s="14"/>
      <c r="D469" s="5"/>
    </row>
    <row r="470" spans="1:4" ht="14.25" customHeight="1">
      <c r="A470" s="5"/>
      <c r="B470" s="5"/>
      <c r="C470" s="14"/>
      <c r="D470" s="5"/>
    </row>
    <row r="471" spans="1:4" ht="14.25" customHeight="1">
      <c r="A471" s="5"/>
      <c r="B471" s="5"/>
      <c r="C471" s="14"/>
      <c r="D471" s="5"/>
    </row>
    <row r="472" spans="1:4" ht="14.25" customHeight="1">
      <c r="A472" s="5"/>
      <c r="B472" s="5"/>
      <c r="C472" s="14"/>
      <c r="D472" s="5"/>
    </row>
    <row r="473" spans="1:4" ht="14.25" customHeight="1">
      <c r="A473" s="5"/>
      <c r="B473" s="5"/>
      <c r="C473" s="14"/>
      <c r="D473" s="5"/>
    </row>
    <row r="474" spans="1:4" ht="14.25" customHeight="1">
      <c r="A474" s="5"/>
      <c r="B474" s="5"/>
      <c r="C474" s="14"/>
      <c r="D474" s="5"/>
    </row>
    <row r="475" spans="1:4" ht="14.25" customHeight="1">
      <c r="A475" s="5"/>
      <c r="B475" s="5"/>
      <c r="C475" s="14"/>
      <c r="D475" s="5"/>
    </row>
    <row r="476" spans="1:4" ht="14.25" customHeight="1">
      <c r="A476" s="5"/>
      <c r="B476" s="5"/>
      <c r="C476" s="14"/>
      <c r="D476" s="5"/>
    </row>
    <row r="477" spans="1:4" ht="14.25" customHeight="1">
      <c r="A477" s="5"/>
      <c r="B477" s="5"/>
      <c r="C477" s="14"/>
      <c r="D477" s="5"/>
    </row>
    <row r="478" spans="1:4" ht="14.25" customHeight="1">
      <c r="A478" s="5"/>
      <c r="B478" s="5"/>
      <c r="C478" s="14"/>
      <c r="D478" s="5"/>
    </row>
    <row r="479" spans="1:4" ht="14.25" customHeight="1">
      <c r="A479" s="5"/>
      <c r="B479" s="5"/>
      <c r="C479" s="14"/>
      <c r="D479" s="5"/>
    </row>
    <row r="480" spans="1:4" ht="14.25" customHeight="1">
      <c r="A480" s="5"/>
      <c r="B480" s="5"/>
      <c r="C480" s="14"/>
      <c r="D480" s="5"/>
    </row>
    <row r="481" spans="1:4" ht="14.25" customHeight="1">
      <c r="A481" s="5"/>
      <c r="B481" s="5"/>
      <c r="C481" s="14"/>
      <c r="D481" s="5"/>
    </row>
    <row r="482" spans="1:4" ht="14.25" customHeight="1">
      <c r="A482" s="5"/>
      <c r="B482" s="5"/>
      <c r="C482" s="14"/>
      <c r="D482" s="5"/>
    </row>
    <row r="483" spans="1:4" ht="14.25" customHeight="1">
      <c r="A483" s="5"/>
      <c r="B483" s="5"/>
      <c r="C483" s="14"/>
      <c r="D483" s="5"/>
    </row>
    <row r="484" spans="1:4" ht="14.25" customHeight="1">
      <c r="A484" s="5"/>
      <c r="B484" s="5"/>
      <c r="C484" s="14"/>
      <c r="D484" s="5"/>
    </row>
    <row r="485" spans="1:4" ht="14.25" customHeight="1">
      <c r="A485" s="5"/>
      <c r="B485" s="5"/>
      <c r="C485" s="14"/>
      <c r="D485" s="5"/>
    </row>
    <row r="486" spans="1:4" ht="14.25" customHeight="1">
      <c r="A486" s="5"/>
      <c r="B486" s="5"/>
      <c r="C486" s="14"/>
      <c r="D486" s="5"/>
    </row>
    <row r="487" spans="1:4" ht="14.25" customHeight="1">
      <c r="A487" s="5"/>
      <c r="B487" s="5"/>
      <c r="C487" s="14"/>
      <c r="D487" s="5"/>
    </row>
    <row r="488" spans="1:4" ht="14.25" customHeight="1">
      <c r="A488" s="5"/>
      <c r="B488" s="5"/>
      <c r="C488" s="14"/>
      <c r="D488" s="5"/>
    </row>
    <row r="489" spans="1:4" ht="14.25" customHeight="1">
      <c r="A489" s="5"/>
      <c r="B489" s="5"/>
      <c r="C489" s="14"/>
      <c r="D489" s="5"/>
    </row>
    <row r="490" spans="1:4" ht="14.25" customHeight="1">
      <c r="A490" s="5"/>
      <c r="B490" s="5"/>
      <c r="C490" s="14"/>
      <c r="D490" s="5"/>
    </row>
    <row r="491" spans="1:4" ht="14.25" customHeight="1">
      <c r="A491" s="5"/>
      <c r="B491" s="5"/>
      <c r="C491" s="14"/>
      <c r="D491" s="5"/>
    </row>
    <row r="492" spans="1:4" ht="14.25" customHeight="1">
      <c r="A492" s="5"/>
      <c r="B492" s="5"/>
      <c r="C492" s="14"/>
      <c r="D492" s="5"/>
    </row>
    <row r="493" spans="1:4" ht="14.25" customHeight="1">
      <c r="A493" s="5"/>
      <c r="B493" s="5"/>
      <c r="C493" s="14"/>
      <c r="D493" s="5"/>
    </row>
    <row r="494" spans="1:4" ht="14.25" customHeight="1">
      <c r="A494" s="5"/>
      <c r="B494" s="5"/>
      <c r="C494" s="14"/>
      <c r="D494" s="5"/>
    </row>
    <row r="495" spans="1:4" ht="14.25" customHeight="1">
      <c r="A495" s="5"/>
      <c r="B495" s="5"/>
      <c r="C495" s="14"/>
      <c r="D495" s="5"/>
    </row>
    <row r="496" spans="1:4" ht="14.25" customHeight="1">
      <c r="A496" s="5"/>
      <c r="B496" s="5"/>
      <c r="C496" s="14"/>
      <c r="D496" s="5"/>
    </row>
    <row r="497" spans="1:4" ht="14.25" customHeight="1">
      <c r="A497" s="5"/>
      <c r="B497" s="5"/>
      <c r="C497" s="14"/>
      <c r="D497" s="5"/>
    </row>
    <row r="498" spans="1:4" ht="14.25" customHeight="1">
      <c r="A498" s="5"/>
      <c r="B498" s="5"/>
      <c r="C498" s="14"/>
      <c r="D498" s="5"/>
    </row>
    <row r="499" spans="1:4" ht="14.25" customHeight="1">
      <c r="A499" s="5"/>
      <c r="B499" s="5"/>
      <c r="C499" s="14"/>
      <c r="D499" s="5"/>
    </row>
    <row r="500" spans="1:4" ht="14.25" customHeight="1">
      <c r="A500" s="5"/>
      <c r="B500" s="5"/>
      <c r="C500" s="14"/>
      <c r="D500" s="5"/>
    </row>
    <row r="501" spans="1:4" ht="14.25" customHeight="1">
      <c r="A501" s="5"/>
      <c r="B501" s="5"/>
      <c r="C501" s="14"/>
      <c r="D501" s="5"/>
    </row>
    <row r="502" spans="1:4" ht="14.25" customHeight="1">
      <c r="A502" s="5"/>
      <c r="B502" s="5"/>
      <c r="C502" s="14"/>
      <c r="D502" s="5"/>
    </row>
    <row r="503" spans="1:4" ht="14.25" customHeight="1">
      <c r="A503" s="5"/>
      <c r="B503" s="5"/>
      <c r="C503" s="14"/>
      <c r="D503" s="5"/>
    </row>
    <row r="504" spans="1:4" ht="14.25" customHeight="1">
      <c r="A504" s="5"/>
      <c r="B504" s="5"/>
      <c r="C504" s="14"/>
      <c r="D504" s="5"/>
    </row>
    <row r="505" spans="1:4" ht="14.25" customHeight="1">
      <c r="A505" s="5"/>
      <c r="B505" s="5"/>
      <c r="C505" s="14"/>
      <c r="D505" s="5"/>
    </row>
    <row r="506" spans="1:4" ht="14.25" customHeight="1">
      <c r="A506" s="5"/>
      <c r="B506" s="5"/>
      <c r="C506" s="14"/>
      <c r="D506" s="5"/>
    </row>
    <row r="507" spans="1:4" ht="14.25" customHeight="1">
      <c r="A507" s="5"/>
      <c r="B507" s="5"/>
      <c r="C507" s="14"/>
      <c r="D507" s="5"/>
    </row>
    <row r="508" spans="1:4" ht="14.25" customHeight="1">
      <c r="A508" s="5"/>
      <c r="B508" s="5"/>
      <c r="C508" s="14"/>
      <c r="D508" s="5"/>
    </row>
    <row r="509" spans="1:4" ht="14.25" customHeight="1">
      <c r="A509" s="5"/>
      <c r="B509" s="5"/>
      <c r="C509" s="14"/>
      <c r="D509" s="5"/>
    </row>
    <row r="510" spans="1:4" ht="14.25" customHeight="1">
      <c r="A510" s="5"/>
      <c r="B510" s="5"/>
      <c r="C510" s="14"/>
      <c r="D510" s="5"/>
    </row>
    <row r="511" spans="1:4" ht="14.25" customHeight="1">
      <c r="A511" s="5"/>
      <c r="B511" s="5"/>
      <c r="C511" s="14"/>
      <c r="D511" s="5"/>
    </row>
    <row r="512" spans="1:4" ht="14.25" customHeight="1">
      <c r="A512" s="5"/>
      <c r="B512" s="5"/>
      <c r="C512" s="14"/>
      <c r="D512" s="5"/>
    </row>
    <row r="513" spans="1:4" ht="14.25" customHeight="1">
      <c r="A513" s="5"/>
      <c r="B513" s="5"/>
      <c r="C513" s="14"/>
      <c r="D513" s="5"/>
    </row>
    <row r="514" spans="1:4" ht="14.25" customHeight="1">
      <c r="A514" s="5"/>
      <c r="B514" s="5"/>
      <c r="C514" s="14"/>
      <c r="D514" s="5"/>
    </row>
    <row r="515" spans="1:4" ht="14.25" customHeight="1">
      <c r="A515" s="5"/>
      <c r="B515" s="5"/>
      <c r="C515" s="14"/>
      <c r="D515" s="5"/>
    </row>
    <row r="516" spans="1:4" ht="14.25" customHeight="1">
      <c r="A516" s="5"/>
      <c r="B516" s="5"/>
      <c r="C516" s="14"/>
      <c r="D516" s="5"/>
    </row>
    <row r="517" spans="1:4" ht="14.25" customHeight="1">
      <c r="A517" s="5"/>
      <c r="B517" s="5"/>
      <c r="C517" s="14"/>
      <c r="D517" s="5"/>
    </row>
    <row r="518" spans="1:4" ht="14.25" customHeight="1">
      <c r="A518" s="5"/>
      <c r="B518" s="5"/>
      <c r="C518" s="14"/>
      <c r="D518" s="5"/>
    </row>
    <row r="519" spans="1:4" ht="14.25" customHeight="1">
      <c r="A519" s="5"/>
      <c r="B519" s="5"/>
      <c r="C519" s="14"/>
      <c r="D519" s="5"/>
    </row>
    <row r="520" spans="1:4" ht="14.25" customHeight="1">
      <c r="A520" s="5"/>
      <c r="B520" s="5"/>
      <c r="C520" s="14"/>
      <c r="D520" s="5"/>
    </row>
    <row r="521" spans="1:4" ht="14.25" customHeight="1">
      <c r="A521" s="5"/>
      <c r="B521" s="5"/>
      <c r="C521" s="14"/>
      <c r="D521" s="5"/>
    </row>
    <row r="522" spans="1:4" ht="14.25" customHeight="1">
      <c r="A522" s="5"/>
      <c r="B522" s="5"/>
      <c r="C522" s="14"/>
      <c r="D522" s="5"/>
    </row>
    <row r="523" spans="1:4" ht="14.25" customHeight="1">
      <c r="A523" s="5"/>
      <c r="B523" s="5"/>
      <c r="C523" s="14"/>
      <c r="D523" s="5"/>
    </row>
    <row r="524" spans="1:4" ht="14.25" customHeight="1">
      <c r="A524" s="5"/>
      <c r="B524" s="5"/>
      <c r="C524" s="14"/>
      <c r="D524" s="5"/>
    </row>
    <row r="525" spans="1:4" ht="14.25" customHeight="1">
      <c r="A525" s="5"/>
      <c r="B525" s="5"/>
      <c r="C525" s="14"/>
      <c r="D525" s="5"/>
    </row>
    <row r="526" spans="1:4" ht="14.25" customHeight="1">
      <c r="A526" s="5"/>
      <c r="B526" s="5"/>
      <c r="C526" s="14"/>
      <c r="D526" s="5"/>
    </row>
    <row r="527" spans="1:4" ht="14.25" customHeight="1">
      <c r="A527" s="5"/>
      <c r="B527" s="5"/>
      <c r="C527" s="14"/>
      <c r="D527" s="5"/>
    </row>
    <row r="528" spans="1:4" ht="14.25" customHeight="1">
      <c r="A528" s="5"/>
      <c r="B528" s="5"/>
      <c r="C528" s="14"/>
      <c r="D528" s="5"/>
    </row>
    <row r="529" spans="1:4" ht="14.25" customHeight="1">
      <c r="A529" s="5"/>
      <c r="B529" s="5"/>
      <c r="C529" s="14"/>
      <c r="D529" s="5"/>
    </row>
    <row r="530" spans="1:4" ht="14.25" customHeight="1">
      <c r="A530" s="5"/>
      <c r="B530" s="5"/>
      <c r="C530" s="14"/>
      <c r="D530" s="5"/>
    </row>
    <row r="531" spans="1:4" ht="14.25" customHeight="1">
      <c r="A531" s="5"/>
      <c r="B531" s="5"/>
      <c r="C531" s="14"/>
      <c r="D531" s="5"/>
    </row>
    <row r="532" spans="1:4" ht="14.25" customHeight="1">
      <c r="A532" s="5"/>
      <c r="B532" s="5"/>
      <c r="C532" s="14"/>
      <c r="D532" s="5"/>
    </row>
    <row r="533" spans="1:4" ht="14.25" customHeight="1">
      <c r="A533" s="5"/>
      <c r="B533" s="5"/>
      <c r="C533" s="14"/>
      <c r="D533" s="5"/>
    </row>
    <row r="534" spans="1:4" ht="14.25" customHeight="1">
      <c r="A534" s="5"/>
      <c r="B534" s="5"/>
      <c r="C534" s="14"/>
      <c r="D534" s="5"/>
    </row>
    <row r="535" spans="1:4" ht="14.25" customHeight="1">
      <c r="A535" s="5"/>
      <c r="B535" s="5"/>
      <c r="C535" s="14"/>
      <c r="D535" s="5"/>
    </row>
    <row r="536" spans="1:4" ht="14.25" customHeight="1">
      <c r="A536" s="5"/>
      <c r="B536" s="5"/>
      <c r="C536" s="14"/>
      <c r="D536" s="5"/>
    </row>
    <row r="537" spans="1:4" ht="14.25" customHeight="1">
      <c r="A537" s="5"/>
      <c r="B537" s="5"/>
      <c r="C537" s="14"/>
      <c r="D537" s="5"/>
    </row>
    <row r="538" spans="1:4" ht="14.25" customHeight="1">
      <c r="A538" s="5"/>
      <c r="B538" s="5"/>
      <c r="C538" s="14"/>
      <c r="D538" s="5"/>
    </row>
    <row r="539" spans="1:4" ht="14.25" customHeight="1">
      <c r="A539" s="5"/>
      <c r="B539" s="5"/>
      <c r="C539" s="14"/>
      <c r="D539" s="5"/>
    </row>
    <row r="540" spans="1:4" ht="14.25" customHeight="1">
      <c r="A540" s="5"/>
      <c r="B540" s="5"/>
      <c r="C540" s="14"/>
      <c r="D540" s="5"/>
    </row>
    <row r="541" spans="1:4" ht="14.25" customHeight="1">
      <c r="A541" s="5"/>
      <c r="B541" s="5"/>
      <c r="C541" s="14"/>
      <c r="D541" s="5"/>
    </row>
    <row r="542" spans="1:4" ht="14.25" customHeight="1">
      <c r="A542" s="5"/>
      <c r="B542" s="5"/>
      <c r="C542" s="14"/>
      <c r="D542" s="5"/>
    </row>
    <row r="543" spans="1:4" ht="14.25" customHeight="1">
      <c r="A543" s="5"/>
      <c r="B543" s="5"/>
      <c r="C543" s="14"/>
      <c r="D543" s="5"/>
    </row>
    <row r="544" spans="1:4" ht="14.25" customHeight="1">
      <c r="A544" s="5"/>
      <c r="B544" s="5"/>
      <c r="C544" s="14"/>
      <c r="D544" s="5"/>
    </row>
    <row r="545" spans="1:4" ht="14.25" customHeight="1">
      <c r="A545" s="5"/>
      <c r="B545" s="5"/>
      <c r="C545" s="14"/>
      <c r="D545" s="5"/>
    </row>
    <row r="546" spans="1:4" ht="14.25" customHeight="1">
      <c r="A546" s="5"/>
      <c r="B546" s="5"/>
      <c r="C546" s="14"/>
      <c r="D546" s="5"/>
    </row>
    <row r="547" spans="1:4" ht="14.25" customHeight="1">
      <c r="A547" s="5"/>
      <c r="B547" s="5"/>
      <c r="C547" s="14"/>
      <c r="D547" s="5"/>
    </row>
    <row r="548" spans="1:4" ht="14.25" customHeight="1">
      <c r="A548" s="5"/>
      <c r="B548" s="5"/>
      <c r="C548" s="14"/>
      <c r="D548" s="5"/>
    </row>
    <row r="549" spans="1:4" ht="14.25" customHeight="1">
      <c r="A549" s="5"/>
      <c r="B549" s="5"/>
      <c r="C549" s="14"/>
      <c r="D549" s="5"/>
    </row>
    <row r="550" spans="1:4" ht="14.25" customHeight="1">
      <c r="A550" s="5"/>
      <c r="B550" s="5"/>
      <c r="C550" s="14"/>
      <c r="D550" s="5"/>
    </row>
    <row r="551" spans="1:4" ht="14.25" customHeight="1">
      <c r="A551" s="5"/>
      <c r="B551" s="5"/>
      <c r="C551" s="14"/>
      <c r="D551" s="5"/>
    </row>
    <row r="552" spans="1:4" ht="14.25" customHeight="1">
      <c r="A552" s="5"/>
      <c r="B552" s="5"/>
      <c r="C552" s="14"/>
      <c r="D552" s="5"/>
    </row>
    <row r="553" spans="1:4" ht="14.25" customHeight="1">
      <c r="A553" s="5"/>
      <c r="B553" s="5"/>
      <c r="C553" s="14"/>
      <c r="D553" s="5"/>
    </row>
    <row r="554" spans="1:4" ht="14.25" customHeight="1">
      <c r="A554" s="5"/>
      <c r="B554" s="5"/>
      <c r="C554" s="14"/>
      <c r="D554" s="5"/>
    </row>
    <row r="555" spans="1:4" ht="14.25" customHeight="1">
      <c r="A555" s="5"/>
      <c r="B555" s="5"/>
      <c r="C555" s="14"/>
      <c r="D555" s="5"/>
    </row>
    <row r="556" spans="1:4" ht="14.25" customHeight="1">
      <c r="A556" s="5"/>
      <c r="B556" s="5"/>
      <c r="C556" s="14"/>
      <c r="D556" s="5"/>
    </row>
    <row r="557" spans="1:4" ht="14.25" customHeight="1">
      <c r="A557" s="5"/>
      <c r="B557" s="5"/>
      <c r="C557" s="14"/>
      <c r="D557" s="5"/>
    </row>
    <row r="558" spans="1:4" ht="14.25" customHeight="1">
      <c r="A558" s="5"/>
      <c r="B558" s="5"/>
      <c r="C558" s="14"/>
      <c r="D558" s="5"/>
    </row>
    <row r="559" spans="1:4" ht="14.25" customHeight="1">
      <c r="A559" s="5"/>
      <c r="B559" s="5"/>
      <c r="C559" s="14"/>
      <c r="D559" s="5"/>
    </row>
    <row r="560" spans="1:4" ht="14.25" customHeight="1">
      <c r="A560" s="5"/>
      <c r="B560" s="5"/>
      <c r="C560" s="14"/>
      <c r="D560" s="5"/>
    </row>
    <row r="561" spans="1:4" ht="14.25" customHeight="1">
      <c r="A561" s="5"/>
      <c r="B561" s="5"/>
      <c r="C561" s="14"/>
      <c r="D561" s="5"/>
    </row>
    <row r="562" spans="1:4" ht="14.25" customHeight="1">
      <c r="A562" s="5"/>
      <c r="B562" s="5"/>
      <c r="C562" s="14"/>
      <c r="D562" s="5"/>
    </row>
    <row r="563" spans="1:4" ht="14.25" customHeight="1">
      <c r="A563" s="5"/>
      <c r="B563" s="5"/>
      <c r="C563" s="14"/>
      <c r="D563" s="5"/>
    </row>
    <row r="564" spans="1:4" ht="14.25" customHeight="1">
      <c r="A564" s="5"/>
      <c r="B564" s="5"/>
      <c r="C564" s="14"/>
      <c r="D564" s="5"/>
    </row>
    <row r="565" spans="1:4" ht="14.25" customHeight="1">
      <c r="A565" s="5"/>
      <c r="B565" s="5"/>
      <c r="C565" s="14"/>
      <c r="D565" s="5"/>
    </row>
    <row r="566" spans="1:4" ht="14.25" customHeight="1">
      <c r="A566" s="5"/>
      <c r="B566" s="5"/>
      <c r="C566" s="14"/>
      <c r="D566" s="5"/>
    </row>
    <row r="567" spans="1:4" ht="14.25" customHeight="1">
      <c r="A567" s="5"/>
      <c r="B567" s="5"/>
      <c r="C567" s="14"/>
      <c r="D567" s="5"/>
    </row>
    <row r="568" spans="1:4" ht="14.25" customHeight="1">
      <c r="A568" s="5"/>
      <c r="B568" s="5"/>
      <c r="C568" s="14"/>
      <c r="D568" s="5"/>
    </row>
    <row r="569" spans="1:4" ht="14.25" customHeight="1">
      <c r="A569" s="5"/>
      <c r="B569" s="5"/>
      <c r="C569" s="14"/>
      <c r="D569" s="5"/>
    </row>
    <row r="570" spans="1:4" ht="14.25" customHeight="1">
      <c r="A570" s="5"/>
      <c r="B570" s="5"/>
      <c r="C570" s="14"/>
      <c r="D570" s="5"/>
    </row>
    <row r="571" spans="1:4" ht="14.25" customHeight="1">
      <c r="A571" s="5"/>
      <c r="B571" s="5"/>
      <c r="C571" s="14"/>
      <c r="D571" s="5"/>
    </row>
    <row r="572" spans="1:4" ht="14.25" customHeight="1">
      <c r="A572" s="5"/>
      <c r="B572" s="5"/>
      <c r="C572" s="14"/>
      <c r="D572" s="5"/>
    </row>
    <row r="573" spans="1:4" ht="14.25" customHeight="1">
      <c r="A573" s="5"/>
      <c r="B573" s="5"/>
      <c r="C573" s="14"/>
      <c r="D573" s="5"/>
    </row>
    <row r="574" spans="1:4" ht="14.25" customHeight="1">
      <c r="A574" s="5"/>
      <c r="B574" s="5"/>
      <c r="C574" s="14"/>
      <c r="D574" s="5"/>
    </row>
    <row r="575" spans="1:4" ht="14.25" customHeight="1">
      <c r="A575" s="5"/>
      <c r="B575" s="5"/>
      <c r="C575" s="14"/>
      <c r="D575" s="5"/>
    </row>
    <row r="576" spans="1:4" ht="14.25" customHeight="1">
      <c r="A576" s="5"/>
      <c r="B576" s="5"/>
      <c r="C576" s="14"/>
      <c r="D576" s="5"/>
    </row>
    <row r="577" spans="1:4" ht="14.25" customHeight="1">
      <c r="A577" s="5"/>
      <c r="B577" s="5"/>
      <c r="C577" s="14"/>
      <c r="D577" s="5"/>
    </row>
    <row r="578" spans="1:4" ht="14.25" customHeight="1">
      <c r="A578" s="5"/>
      <c r="B578" s="5"/>
      <c r="C578" s="14"/>
      <c r="D578" s="5"/>
    </row>
    <row r="579" spans="1:4" ht="14.25" customHeight="1">
      <c r="A579" s="5"/>
      <c r="B579" s="5"/>
      <c r="C579" s="14"/>
      <c r="D579" s="5"/>
    </row>
    <row r="580" spans="1:4" ht="14.25" customHeight="1">
      <c r="A580" s="5"/>
      <c r="B580" s="5"/>
      <c r="C580" s="14"/>
      <c r="D580" s="5"/>
    </row>
    <row r="581" spans="1:4" ht="14.25" customHeight="1">
      <c r="A581" s="5"/>
      <c r="B581" s="5"/>
      <c r="C581" s="14"/>
      <c r="D581" s="5"/>
    </row>
    <row r="582" spans="1:4" ht="14.25" customHeight="1">
      <c r="A582" s="5"/>
      <c r="B582" s="5"/>
      <c r="C582" s="14"/>
      <c r="D582" s="5"/>
    </row>
    <row r="583" spans="1:4" ht="14.25" customHeight="1">
      <c r="A583" s="5"/>
      <c r="B583" s="5"/>
      <c r="C583" s="14"/>
      <c r="D583" s="5"/>
    </row>
    <row r="584" spans="1:4" ht="14.25" customHeight="1">
      <c r="A584" s="5"/>
      <c r="B584" s="5"/>
      <c r="C584" s="14"/>
      <c r="D584" s="5"/>
    </row>
    <row r="585" spans="1:4" ht="14.25" customHeight="1">
      <c r="A585" s="5"/>
      <c r="B585" s="5"/>
      <c r="C585" s="14"/>
      <c r="D585" s="5"/>
    </row>
    <row r="586" spans="1:4" ht="14.25" customHeight="1"/>
    <row r="587" spans="1:4" ht="14.25" customHeight="1"/>
    <row r="588" spans="1:4" ht="14.25" customHeight="1"/>
    <row r="589" spans="1:4" ht="14.25" customHeight="1"/>
    <row r="590" spans="1:4" ht="14.25" customHeight="1"/>
    <row r="591" spans="1:4" ht="14.25" customHeight="1"/>
    <row r="592" spans="1:4"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D1000"/>
  <sheetViews>
    <sheetView workbookViewId="0">
      <selection activeCell="B2" sqref="B2"/>
    </sheetView>
  </sheetViews>
  <sheetFormatPr baseColWidth="10" defaultColWidth="14.44140625" defaultRowHeight="15" customHeight="1"/>
  <cols>
    <col min="1" max="1" width="10.44140625" customWidth="1"/>
    <col min="2" max="2" width="7.44140625" customWidth="1"/>
    <col min="3" max="3" width="15.6640625" customWidth="1"/>
    <col min="4" max="26" width="8.6640625" customWidth="1"/>
  </cols>
  <sheetData>
    <row r="1" spans="1:4" ht="14.25" customHeight="1">
      <c r="A1" s="18" t="s">
        <v>38</v>
      </c>
      <c r="B1" s="18" t="s">
        <v>0</v>
      </c>
      <c r="C1" s="18" t="s">
        <v>62</v>
      </c>
      <c r="D1" s="56" t="s">
        <v>91</v>
      </c>
    </row>
    <row r="2" spans="1:4" ht="14.25" customHeight="1">
      <c r="A2" s="4">
        <v>1201</v>
      </c>
      <c r="B2" s="4">
        <v>115600</v>
      </c>
      <c r="C2" s="4">
        <v>64</v>
      </c>
      <c r="D2" t="str">
        <f>A2&amp;"-"&amp;B2</f>
        <v>1201-115600</v>
      </c>
    </row>
    <row r="3" spans="1:4" ht="14.25" customHeight="1">
      <c r="A3" s="4">
        <v>1201</v>
      </c>
      <c r="B3" s="4">
        <v>129208</v>
      </c>
      <c r="C3" s="5">
        <v>108</v>
      </c>
      <c r="D3" t="str">
        <f t="shared" ref="D3:D66" si="0">A3&amp;"-"&amp;B3</f>
        <v>1201-129208</v>
      </c>
    </row>
    <row r="4" spans="1:4" ht="14.25" customHeight="1">
      <c r="A4" s="4">
        <v>1201</v>
      </c>
      <c r="B4" s="4">
        <v>300380</v>
      </c>
      <c r="C4" s="5">
        <v>76</v>
      </c>
      <c r="D4" t="str">
        <f t="shared" si="0"/>
        <v>1201-300380</v>
      </c>
    </row>
    <row r="5" spans="1:4" ht="14.25" customHeight="1">
      <c r="A5" s="4">
        <v>1201</v>
      </c>
      <c r="B5" s="4">
        <v>23393</v>
      </c>
      <c r="C5" s="5">
        <v>114</v>
      </c>
      <c r="D5" t="str">
        <f t="shared" si="0"/>
        <v>1201-23393</v>
      </c>
    </row>
    <row r="6" spans="1:4" ht="14.25" customHeight="1">
      <c r="A6" s="4">
        <v>1201</v>
      </c>
      <c r="B6" s="4">
        <v>26764</v>
      </c>
      <c r="C6" s="5">
        <v>98</v>
      </c>
      <c r="D6" t="str">
        <f t="shared" si="0"/>
        <v>1201-26764</v>
      </c>
    </row>
    <row r="7" spans="1:4" ht="14.25" customHeight="1">
      <c r="A7" s="4">
        <v>1201</v>
      </c>
      <c r="B7" s="4">
        <v>53934</v>
      </c>
      <c r="C7" s="5">
        <v>88</v>
      </c>
      <c r="D7" t="str">
        <f t="shared" si="0"/>
        <v>1201-53934</v>
      </c>
    </row>
    <row r="8" spans="1:4" ht="14.25" customHeight="1">
      <c r="A8" s="4">
        <v>1201</v>
      </c>
      <c r="B8" s="4">
        <v>78699</v>
      </c>
      <c r="C8" s="5">
        <v>80</v>
      </c>
      <c r="D8" t="str">
        <f t="shared" si="0"/>
        <v>1201-78699</v>
      </c>
    </row>
    <row r="9" spans="1:4" ht="14.25" customHeight="1">
      <c r="A9" s="4">
        <v>1201</v>
      </c>
      <c r="B9" s="4">
        <v>78869</v>
      </c>
      <c r="C9" s="5">
        <v>112</v>
      </c>
      <c r="D9" t="str">
        <f t="shared" si="0"/>
        <v>1201-78869</v>
      </c>
    </row>
    <row r="10" spans="1:4" ht="14.25" customHeight="1">
      <c r="A10" s="4">
        <v>1201</v>
      </c>
      <c r="B10" s="4">
        <v>141622</v>
      </c>
      <c r="C10" s="5">
        <v>108</v>
      </c>
      <c r="D10" t="str">
        <f t="shared" si="0"/>
        <v>1201-141622</v>
      </c>
    </row>
    <row r="11" spans="1:4" ht="14.25" customHeight="1">
      <c r="A11" s="4">
        <v>1201</v>
      </c>
      <c r="B11" s="4">
        <v>141626</v>
      </c>
      <c r="C11" s="5">
        <v>90</v>
      </c>
      <c r="D11" t="str">
        <f t="shared" si="0"/>
        <v>1201-141626</v>
      </c>
    </row>
    <row r="12" spans="1:4" ht="14.25" customHeight="1">
      <c r="A12" s="4">
        <v>1201</v>
      </c>
      <c r="B12" s="4">
        <v>141791</v>
      </c>
      <c r="C12" s="5">
        <v>68</v>
      </c>
      <c r="D12" t="str">
        <f t="shared" si="0"/>
        <v>1201-141791</v>
      </c>
    </row>
    <row r="13" spans="1:4" ht="14.25" customHeight="1">
      <c r="A13" s="4">
        <v>1201</v>
      </c>
      <c r="B13" s="4">
        <v>141846</v>
      </c>
      <c r="C13" s="5">
        <v>74</v>
      </c>
      <c r="D13" t="str">
        <f t="shared" si="0"/>
        <v>1201-141846</v>
      </c>
    </row>
    <row r="14" spans="1:4" ht="14.25" customHeight="1">
      <c r="A14" s="4">
        <v>1201</v>
      </c>
      <c r="B14" s="4">
        <v>141967</v>
      </c>
      <c r="C14" s="5">
        <v>114</v>
      </c>
      <c r="D14" t="str">
        <f t="shared" si="0"/>
        <v>1201-141967</v>
      </c>
    </row>
    <row r="15" spans="1:4" ht="14.25" customHeight="1">
      <c r="A15" s="4">
        <v>1201</v>
      </c>
      <c r="B15" s="4">
        <v>142194</v>
      </c>
      <c r="C15" s="5">
        <v>120</v>
      </c>
      <c r="D15" t="str">
        <f t="shared" si="0"/>
        <v>1201-142194</v>
      </c>
    </row>
    <row r="16" spans="1:4" ht="14.25" customHeight="1">
      <c r="A16" s="4">
        <v>1201</v>
      </c>
      <c r="B16" s="4">
        <v>149729</v>
      </c>
      <c r="C16" s="5">
        <v>94</v>
      </c>
      <c r="D16" t="str">
        <f t="shared" si="0"/>
        <v>1201-149729</v>
      </c>
    </row>
    <row r="17" spans="1:4" ht="14.25" customHeight="1">
      <c r="A17" s="4">
        <v>1201</v>
      </c>
      <c r="B17" s="4">
        <v>149779</v>
      </c>
      <c r="C17" s="5">
        <v>72</v>
      </c>
      <c r="D17" t="str">
        <f t="shared" si="0"/>
        <v>1201-149779</v>
      </c>
    </row>
    <row r="18" spans="1:4" ht="14.25" customHeight="1">
      <c r="A18" s="4">
        <v>1201</v>
      </c>
      <c r="B18" s="4">
        <v>189933</v>
      </c>
      <c r="C18" s="5">
        <v>82</v>
      </c>
      <c r="D18" t="str">
        <f t="shared" si="0"/>
        <v>1201-189933</v>
      </c>
    </row>
    <row r="19" spans="1:4" ht="14.25" customHeight="1">
      <c r="A19" s="4">
        <v>1201</v>
      </c>
      <c r="B19" s="4">
        <v>202577</v>
      </c>
      <c r="C19" s="5">
        <v>88</v>
      </c>
      <c r="D19" t="str">
        <f t="shared" si="0"/>
        <v>1201-202577</v>
      </c>
    </row>
    <row r="20" spans="1:4" ht="14.25" customHeight="1">
      <c r="A20" s="4">
        <v>1201</v>
      </c>
      <c r="B20" s="4">
        <v>234334</v>
      </c>
      <c r="C20" s="5">
        <v>60</v>
      </c>
      <c r="D20" t="str">
        <f t="shared" si="0"/>
        <v>1201-234334</v>
      </c>
    </row>
    <row r="21" spans="1:4" ht="14.25" customHeight="1">
      <c r="A21" s="4">
        <v>1201</v>
      </c>
      <c r="B21" s="4">
        <v>249444</v>
      </c>
      <c r="C21" s="5">
        <v>86</v>
      </c>
      <c r="D21" t="str">
        <f t="shared" si="0"/>
        <v>1201-249444</v>
      </c>
    </row>
    <row r="22" spans="1:4" ht="14.25" customHeight="1">
      <c r="A22" s="4">
        <v>1201</v>
      </c>
      <c r="B22" s="4">
        <v>249795</v>
      </c>
      <c r="C22" s="5">
        <v>116</v>
      </c>
      <c r="D22" t="str">
        <f t="shared" si="0"/>
        <v>1201-249795</v>
      </c>
    </row>
    <row r="23" spans="1:4" ht="14.25" customHeight="1">
      <c r="A23" s="4">
        <v>1201</v>
      </c>
      <c r="B23" s="4">
        <v>250979</v>
      </c>
      <c r="C23" s="5">
        <v>84</v>
      </c>
      <c r="D23" t="str">
        <f t="shared" si="0"/>
        <v>1201-250979</v>
      </c>
    </row>
    <row r="24" spans="1:4" ht="14.25" customHeight="1">
      <c r="A24" s="4">
        <v>1201</v>
      </c>
      <c r="B24" s="4">
        <v>250981</v>
      </c>
      <c r="C24" s="5">
        <v>44</v>
      </c>
      <c r="D24" t="str">
        <f t="shared" si="0"/>
        <v>1201-250981</v>
      </c>
    </row>
    <row r="25" spans="1:4" ht="14.25" customHeight="1">
      <c r="A25" s="4">
        <v>1201</v>
      </c>
      <c r="B25" s="4">
        <v>262294</v>
      </c>
      <c r="C25" s="5">
        <v>40</v>
      </c>
      <c r="D25" t="str">
        <f t="shared" si="0"/>
        <v>1201-262294</v>
      </c>
    </row>
    <row r="26" spans="1:4" ht="14.25" customHeight="1">
      <c r="A26" s="4">
        <v>1201</v>
      </c>
      <c r="B26" s="4">
        <v>268831</v>
      </c>
      <c r="C26" s="5">
        <v>120</v>
      </c>
      <c r="D26" t="str">
        <f t="shared" si="0"/>
        <v>1201-268831</v>
      </c>
    </row>
    <row r="27" spans="1:4" ht="14.25" customHeight="1">
      <c r="A27" s="4">
        <v>1201</v>
      </c>
      <c r="B27" s="4">
        <v>273701</v>
      </c>
      <c r="C27" s="5">
        <v>90</v>
      </c>
      <c r="D27" t="str">
        <f t="shared" si="0"/>
        <v>1201-273701</v>
      </c>
    </row>
    <row r="28" spans="1:4" ht="14.25" customHeight="1">
      <c r="A28" s="4">
        <v>1201</v>
      </c>
      <c r="B28" s="4">
        <v>291726</v>
      </c>
      <c r="C28" s="5">
        <v>40</v>
      </c>
      <c r="D28" t="str">
        <f t="shared" si="0"/>
        <v>1201-291726</v>
      </c>
    </row>
    <row r="29" spans="1:4" ht="14.25" customHeight="1">
      <c r="A29" s="4">
        <v>1201</v>
      </c>
      <c r="B29" s="4">
        <v>291728</v>
      </c>
      <c r="C29" s="5">
        <v>104</v>
      </c>
      <c r="D29" t="str">
        <f t="shared" si="0"/>
        <v>1201-291728</v>
      </c>
    </row>
    <row r="30" spans="1:4" ht="14.25" customHeight="1">
      <c r="A30" s="4">
        <v>1201</v>
      </c>
      <c r="B30" s="4">
        <v>571521</v>
      </c>
      <c r="C30" s="5">
        <v>50</v>
      </c>
      <c r="D30" t="str">
        <f t="shared" si="0"/>
        <v>1201-571521</v>
      </c>
    </row>
    <row r="31" spans="1:4" ht="14.25" customHeight="1">
      <c r="A31" s="4">
        <v>1201</v>
      </c>
      <c r="B31" s="4">
        <v>614993</v>
      </c>
      <c r="C31" s="5">
        <v>100</v>
      </c>
      <c r="D31" t="str">
        <f t="shared" si="0"/>
        <v>1201-614993</v>
      </c>
    </row>
    <row r="32" spans="1:4" ht="14.25" customHeight="1">
      <c r="A32" s="4">
        <v>1202</v>
      </c>
      <c r="B32" s="4">
        <v>115600</v>
      </c>
      <c r="C32" s="5">
        <v>110</v>
      </c>
      <c r="D32" t="str">
        <f t="shared" si="0"/>
        <v>1202-115600</v>
      </c>
    </row>
    <row r="33" spans="1:4" ht="14.25" customHeight="1">
      <c r="A33" s="4">
        <v>1202</v>
      </c>
      <c r="B33" s="4">
        <v>129208</v>
      </c>
      <c r="C33" s="5">
        <v>74</v>
      </c>
      <c r="D33" t="str">
        <f t="shared" si="0"/>
        <v>1202-129208</v>
      </c>
    </row>
    <row r="34" spans="1:4" ht="14.25" customHeight="1">
      <c r="A34" s="4">
        <v>1202</v>
      </c>
      <c r="B34" s="4">
        <v>300380</v>
      </c>
      <c r="C34" s="5">
        <v>76</v>
      </c>
      <c r="D34" t="str">
        <f t="shared" si="0"/>
        <v>1202-300380</v>
      </c>
    </row>
    <row r="35" spans="1:4" ht="14.25" customHeight="1">
      <c r="A35" s="4">
        <v>1202</v>
      </c>
      <c r="B35" s="4">
        <v>23393</v>
      </c>
      <c r="C35" s="5">
        <v>106</v>
      </c>
      <c r="D35" t="str">
        <f t="shared" si="0"/>
        <v>1202-23393</v>
      </c>
    </row>
    <row r="36" spans="1:4" ht="14.25" customHeight="1">
      <c r="A36" s="4">
        <v>1202</v>
      </c>
      <c r="B36" s="4">
        <v>26764</v>
      </c>
      <c r="C36" s="5">
        <v>92</v>
      </c>
      <c r="D36" t="str">
        <f t="shared" si="0"/>
        <v>1202-26764</v>
      </c>
    </row>
    <row r="37" spans="1:4" ht="14.25" customHeight="1">
      <c r="A37" s="4">
        <v>1202</v>
      </c>
      <c r="B37" s="4">
        <v>53934</v>
      </c>
      <c r="C37" s="5">
        <v>90</v>
      </c>
      <c r="D37" t="str">
        <f t="shared" si="0"/>
        <v>1202-53934</v>
      </c>
    </row>
    <row r="38" spans="1:4" ht="14.25" customHeight="1">
      <c r="A38" s="4">
        <v>1202</v>
      </c>
      <c r="B38" s="4">
        <v>78699</v>
      </c>
      <c r="C38" s="5">
        <v>52</v>
      </c>
      <c r="D38" t="str">
        <f t="shared" si="0"/>
        <v>1202-78699</v>
      </c>
    </row>
    <row r="39" spans="1:4" ht="14.25" customHeight="1">
      <c r="A39" s="4">
        <v>1202</v>
      </c>
      <c r="B39" s="4">
        <v>78869</v>
      </c>
      <c r="C39" s="5">
        <v>66</v>
      </c>
      <c r="D39" t="str">
        <f t="shared" si="0"/>
        <v>1202-78869</v>
      </c>
    </row>
    <row r="40" spans="1:4" ht="14.25" customHeight="1">
      <c r="A40" s="4">
        <v>1202</v>
      </c>
      <c r="B40" s="4">
        <v>141622</v>
      </c>
      <c r="C40" s="5">
        <v>112</v>
      </c>
      <c r="D40" t="str">
        <f t="shared" si="0"/>
        <v>1202-141622</v>
      </c>
    </row>
    <row r="41" spans="1:4" ht="14.25" customHeight="1">
      <c r="A41" s="4">
        <v>1202</v>
      </c>
      <c r="B41" s="4">
        <v>141626</v>
      </c>
      <c r="C41" s="5">
        <v>70</v>
      </c>
      <c r="D41" t="str">
        <f t="shared" si="0"/>
        <v>1202-141626</v>
      </c>
    </row>
    <row r="42" spans="1:4" ht="14.25" customHeight="1">
      <c r="A42" s="4">
        <v>1202</v>
      </c>
      <c r="B42" s="4">
        <v>141791</v>
      </c>
      <c r="C42" s="5">
        <v>118</v>
      </c>
      <c r="D42" t="str">
        <f t="shared" si="0"/>
        <v>1202-141791</v>
      </c>
    </row>
    <row r="43" spans="1:4" ht="14.25" customHeight="1">
      <c r="A43" s="4">
        <v>1202</v>
      </c>
      <c r="B43" s="4">
        <v>141846</v>
      </c>
      <c r="C43" s="5">
        <v>62</v>
      </c>
      <c r="D43" t="str">
        <f t="shared" si="0"/>
        <v>1202-141846</v>
      </c>
    </row>
    <row r="44" spans="1:4" ht="14.25" customHeight="1">
      <c r="A44" s="4">
        <v>1202</v>
      </c>
      <c r="B44" s="4">
        <v>141967</v>
      </c>
      <c r="C44" s="5">
        <v>94</v>
      </c>
      <c r="D44" t="str">
        <f t="shared" si="0"/>
        <v>1202-141967</v>
      </c>
    </row>
    <row r="45" spans="1:4" ht="14.25" customHeight="1">
      <c r="A45" s="4">
        <v>1202</v>
      </c>
      <c r="B45" s="4">
        <v>142194</v>
      </c>
      <c r="C45" s="5">
        <v>98</v>
      </c>
      <c r="D45" t="str">
        <f t="shared" si="0"/>
        <v>1202-142194</v>
      </c>
    </row>
    <row r="46" spans="1:4" ht="14.25" customHeight="1">
      <c r="A46" s="4">
        <v>1202</v>
      </c>
      <c r="B46" s="4">
        <v>149729</v>
      </c>
      <c r="C46" s="5">
        <v>102</v>
      </c>
      <c r="D46" t="str">
        <f t="shared" si="0"/>
        <v>1202-149729</v>
      </c>
    </row>
    <row r="47" spans="1:4" ht="14.25" customHeight="1">
      <c r="A47" s="4">
        <v>1202</v>
      </c>
      <c r="B47" s="4">
        <v>149779</v>
      </c>
      <c r="C47" s="5">
        <v>88</v>
      </c>
      <c r="D47" t="str">
        <f t="shared" si="0"/>
        <v>1202-149779</v>
      </c>
    </row>
    <row r="48" spans="1:4" ht="14.25" customHeight="1">
      <c r="A48" s="4">
        <v>1202</v>
      </c>
      <c r="B48" s="4">
        <v>189933</v>
      </c>
      <c r="C48" s="5">
        <v>66</v>
      </c>
      <c r="D48" t="str">
        <f t="shared" si="0"/>
        <v>1202-189933</v>
      </c>
    </row>
    <row r="49" spans="1:4" ht="14.25" customHeight="1">
      <c r="A49" s="4">
        <v>1202</v>
      </c>
      <c r="B49" s="4">
        <v>202577</v>
      </c>
      <c r="C49" s="5">
        <v>64</v>
      </c>
      <c r="D49" t="str">
        <f t="shared" si="0"/>
        <v>1202-202577</v>
      </c>
    </row>
    <row r="50" spans="1:4" ht="14.25" customHeight="1">
      <c r="A50" s="4">
        <v>1202</v>
      </c>
      <c r="B50" s="4">
        <v>234334</v>
      </c>
      <c r="C50" s="5">
        <v>72</v>
      </c>
      <c r="D50" t="str">
        <f t="shared" si="0"/>
        <v>1202-234334</v>
      </c>
    </row>
    <row r="51" spans="1:4" ht="14.25" customHeight="1">
      <c r="A51" s="4">
        <v>1202</v>
      </c>
      <c r="B51" s="4">
        <v>249444</v>
      </c>
      <c r="C51" s="5">
        <v>74</v>
      </c>
      <c r="D51" t="str">
        <f t="shared" si="0"/>
        <v>1202-249444</v>
      </c>
    </row>
    <row r="52" spans="1:4" ht="14.25" customHeight="1">
      <c r="A52" s="4">
        <v>1202</v>
      </c>
      <c r="B52" s="4">
        <v>249795</v>
      </c>
      <c r="C52" s="5">
        <v>78</v>
      </c>
      <c r="D52" t="str">
        <f t="shared" si="0"/>
        <v>1202-249795</v>
      </c>
    </row>
    <row r="53" spans="1:4" ht="14.25" customHeight="1">
      <c r="A53" s="4">
        <v>1202</v>
      </c>
      <c r="B53" s="4">
        <v>250979</v>
      </c>
      <c r="C53" s="5">
        <v>56</v>
      </c>
      <c r="D53" t="str">
        <f t="shared" si="0"/>
        <v>1202-250979</v>
      </c>
    </row>
    <row r="54" spans="1:4" ht="14.25" customHeight="1">
      <c r="A54" s="4">
        <v>1202</v>
      </c>
      <c r="B54" s="4">
        <v>250981</v>
      </c>
      <c r="C54" s="5">
        <v>66</v>
      </c>
      <c r="D54" t="str">
        <f t="shared" si="0"/>
        <v>1202-250981</v>
      </c>
    </row>
    <row r="55" spans="1:4" ht="14.25" customHeight="1">
      <c r="A55" s="4">
        <v>1202</v>
      </c>
      <c r="B55" s="4">
        <v>262294</v>
      </c>
      <c r="C55" s="5">
        <v>96</v>
      </c>
      <c r="D55" t="str">
        <f t="shared" si="0"/>
        <v>1202-262294</v>
      </c>
    </row>
    <row r="56" spans="1:4" ht="14.25" customHeight="1">
      <c r="A56" s="4">
        <v>1202</v>
      </c>
      <c r="B56" s="4">
        <v>268831</v>
      </c>
      <c r="C56" s="5">
        <v>68</v>
      </c>
      <c r="D56" t="str">
        <f t="shared" si="0"/>
        <v>1202-268831</v>
      </c>
    </row>
    <row r="57" spans="1:4" ht="14.25" customHeight="1">
      <c r="A57" s="4">
        <v>1202</v>
      </c>
      <c r="B57" s="4">
        <v>273701</v>
      </c>
      <c r="C57" s="5">
        <v>112</v>
      </c>
      <c r="D57" t="str">
        <f t="shared" si="0"/>
        <v>1202-273701</v>
      </c>
    </row>
    <row r="58" spans="1:4" ht="14.25" customHeight="1">
      <c r="A58" s="4">
        <v>1202</v>
      </c>
      <c r="B58" s="4">
        <v>291726</v>
      </c>
      <c r="C58" s="5">
        <v>106</v>
      </c>
      <c r="D58" t="str">
        <f t="shared" si="0"/>
        <v>1202-291726</v>
      </c>
    </row>
    <row r="59" spans="1:4" ht="14.25" customHeight="1">
      <c r="A59" s="4">
        <v>1202</v>
      </c>
      <c r="B59" s="4">
        <v>291728</v>
      </c>
      <c r="C59" s="5">
        <v>64</v>
      </c>
      <c r="D59" t="str">
        <f t="shared" si="0"/>
        <v>1202-291728</v>
      </c>
    </row>
    <row r="60" spans="1:4" ht="14.25" customHeight="1">
      <c r="A60" s="4">
        <v>1202</v>
      </c>
      <c r="B60" s="4">
        <v>571521</v>
      </c>
      <c r="C60" s="5">
        <v>46</v>
      </c>
      <c r="D60" t="str">
        <f t="shared" si="0"/>
        <v>1202-571521</v>
      </c>
    </row>
    <row r="61" spans="1:4" ht="14.25" customHeight="1">
      <c r="A61" s="4">
        <v>1202</v>
      </c>
      <c r="B61" s="4">
        <v>614993</v>
      </c>
      <c r="C61" s="5">
        <v>76</v>
      </c>
      <c r="D61" t="str">
        <f t="shared" si="0"/>
        <v>1202-614993</v>
      </c>
    </row>
    <row r="62" spans="1:4" ht="14.25" customHeight="1">
      <c r="A62" s="4">
        <v>1203</v>
      </c>
      <c r="B62" s="4">
        <v>115600</v>
      </c>
      <c r="C62" s="5">
        <v>68</v>
      </c>
      <c r="D62" t="str">
        <f t="shared" si="0"/>
        <v>1203-115600</v>
      </c>
    </row>
    <row r="63" spans="1:4" ht="14.25" customHeight="1">
      <c r="A63" s="4">
        <v>1203</v>
      </c>
      <c r="B63" s="4">
        <v>129208</v>
      </c>
      <c r="C63" s="5">
        <v>100</v>
      </c>
      <c r="D63" t="str">
        <f t="shared" si="0"/>
        <v>1203-129208</v>
      </c>
    </row>
    <row r="64" spans="1:4" ht="14.25" customHeight="1">
      <c r="A64" s="4">
        <v>1203</v>
      </c>
      <c r="B64" s="4">
        <v>300380</v>
      </c>
      <c r="C64" s="5">
        <v>74</v>
      </c>
      <c r="D64" t="str">
        <f t="shared" si="0"/>
        <v>1203-300380</v>
      </c>
    </row>
    <row r="65" spans="1:4" ht="14.25" customHeight="1">
      <c r="A65" s="4">
        <v>1203</v>
      </c>
      <c r="B65" s="4">
        <v>23393</v>
      </c>
      <c r="C65" s="5">
        <v>64</v>
      </c>
      <c r="D65" t="str">
        <f t="shared" si="0"/>
        <v>1203-23393</v>
      </c>
    </row>
    <row r="66" spans="1:4" ht="14.25" customHeight="1">
      <c r="A66" s="4">
        <v>1203</v>
      </c>
      <c r="B66" s="4">
        <v>26764</v>
      </c>
      <c r="C66" s="5">
        <v>112</v>
      </c>
      <c r="D66" t="str">
        <f t="shared" si="0"/>
        <v>1203-26764</v>
      </c>
    </row>
    <row r="67" spans="1:4" ht="14.25" customHeight="1">
      <c r="A67" s="4">
        <v>1203</v>
      </c>
      <c r="B67" s="4">
        <v>53934</v>
      </c>
      <c r="C67" s="5">
        <v>62</v>
      </c>
      <c r="D67" t="str">
        <f t="shared" ref="D67:D130" si="1">A67&amp;"-"&amp;B67</f>
        <v>1203-53934</v>
      </c>
    </row>
    <row r="68" spans="1:4" ht="14.25" customHeight="1">
      <c r="A68" s="4">
        <v>1203</v>
      </c>
      <c r="B68" s="4">
        <v>78699</v>
      </c>
      <c r="C68" s="5">
        <v>50</v>
      </c>
      <c r="D68" t="str">
        <f t="shared" si="1"/>
        <v>1203-78699</v>
      </c>
    </row>
    <row r="69" spans="1:4" ht="14.25" customHeight="1">
      <c r="A69" s="4">
        <v>1203</v>
      </c>
      <c r="B69" s="4">
        <v>78869</v>
      </c>
      <c r="C69" s="5">
        <v>100</v>
      </c>
      <c r="D69" t="str">
        <f t="shared" si="1"/>
        <v>1203-78869</v>
      </c>
    </row>
    <row r="70" spans="1:4" ht="14.25" customHeight="1">
      <c r="A70" s="4">
        <v>1203</v>
      </c>
      <c r="B70" s="4">
        <v>141622</v>
      </c>
      <c r="C70" s="5">
        <v>104</v>
      </c>
      <c r="D70" t="str">
        <f t="shared" si="1"/>
        <v>1203-141622</v>
      </c>
    </row>
    <row r="71" spans="1:4" ht="14.25" customHeight="1">
      <c r="A71" s="4">
        <v>1203</v>
      </c>
      <c r="B71" s="4">
        <v>141626</v>
      </c>
      <c r="C71" s="5">
        <v>112</v>
      </c>
      <c r="D71" t="str">
        <f t="shared" si="1"/>
        <v>1203-141626</v>
      </c>
    </row>
    <row r="72" spans="1:4" ht="14.25" customHeight="1">
      <c r="A72" s="4">
        <v>1203</v>
      </c>
      <c r="B72" s="4">
        <v>141791</v>
      </c>
      <c r="C72" s="5">
        <v>76</v>
      </c>
      <c r="D72" t="str">
        <f t="shared" si="1"/>
        <v>1203-141791</v>
      </c>
    </row>
    <row r="73" spans="1:4" ht="14.25" customHeight="1">
      <c r="A73" s="4">
        <v>1203</v>
      </c>
      <c r="B73" s="4">
        <v>141846</v>
      </c>
      <c r="C73" s="5">
        <v>108</v>
      </c>
      <c r="D73" t="str">
        <f t="shared" si="1"/>
        <v>1203-141846</v>
      </c>
    </row>
    <row r="74" spans="1:4" ht="14.25" customHeight="1">
      <c r="A74" s="4">
        <v>1203</v>
      </c>
      <c r="B74" s="4">
        <v>141967</v>
      </c>
      <c r="C74" s="5">
        <v>40</v>
      </c>
      <c r="D74" t="str">
        <f t="shared" si="1"/>
        <v>1203-141967</v>
      </c>
    </row>
    <row r="75" spans="1:4" ht="14.25" customHeight="1">
      <c r="A75" s="4">
        <v>1203</v>
      </c>
      <c r="B75" s="4">
        <v>142194</v>
      </c>
      <c r="C75" s="5">
        <v>120</v>
      </c>
      <c r="D75" t="str">
        <f t="shared" si="1"/>
        <v>1203-142194</v>
      </c>
    </row>
    <row r="76" spans="1:4" ht="14.25" customHeight="1">
      <c r="A76" s="4">
        <v>1203</v>
      </c>
      <c r="B76" s="4">
        <v>149729</v>
      </c>
      <c r="C76" s="5">
        <v>102</v>
      </c>
      <c r="D76" t="str">
        <f t="shared" si="1"/>
        <v>1203-149729</v>
      </c>
    </row>
    <row r="77" spans="1:4" ht="14.25" customHeight="1">
      <c r="A77" s="4">
        <v>1203</v>
      </c>
      <c r="B77" s="4">
        <v>149779</v>
      </c>
      <c r="C77" s="5">
        <v>40</v>
      </c>
      <c r="D77" t="str">
        <f t="shared" si="1"/>
        <v>1203-149779</v>
      </c>
    </row>
    <row r="78" spans="1:4" ht="14.25" customHeight="1">
      <c r="A78" s="4">
        <v>1203</v>
      </c>
      <c r="B78" s="4">
        <v>189933</v>
      </c>
      <c r="C78" s="5">
        <v>42</v>
      </c>
      <c r="D78" t="str">
        <f t="shared" si="1"/>
        <v>1203-189933</v>
      </c>
    </row>
    <row r="79" spans="1:4" ht="14.25" customHeight="1">
      <c r="A79" s="4">
        <v>1203</v>
      </c>
      <c r="B79" s="4">
        <v>202577</v>
      </c>
      <c r="C79" s="5">
        <v>94</v>
      </c>
      <c r="D79" t="str">
        <f t="shared" si="1"/>
        <v>1203-202577</v>
      </c>
    </row>
    <row r="80" spans="1:4" ht="14.25" customHeight="1">
      <c r="A80" s="4">
        <v>1203</v>
      </c>
      <c r="B80" s="4">
        <v>234334</v>
      </c>
      <c r="C80" s="5">
        <v>102</v>
      </c>
      <c r="D80" t="str">
        <f t="shared" si="1"/>
        <v>1203-234334</v>
      </c>
    </row>
    <row r="81" spans="1:4" ht="14.25" customHeight="1">
      <c r="A81" s="4">
        <v>1203</v>
      </c>
      <c r="B81" s="4">
        <v>249444</v>
      </c>
      <c r="C81" s="5">
        <v>46</v>
      </c>
      <c r="D81" t="str">
        <f t="shared" si="1"/>
        <v>1203-249444</v>
      </c>
    </row>
    <row r="82" spans="1:4" ht="14.25" customHeight="1">
      <c r="A82" s="4">
        <v>1203</v>
      </c>
      <c r="B82" s="4">
        <v>249795</v>
      </c>
      <c r="C82" s="5">
        <v>84</v>
      </c>
      <c r="D82" t="str">
        <f t="shared" si="1"/>
        <v>1203-249795</v>
      </c>
    </row>
    <row r="83" spans="1:4" ht="14.25" customHeight="1">
      <c r="A83" s="4">
        <v>1203</v>
      </c>
      <c r="B83" s="4">
        <v>250979</v>
      </c>
      <c r="C83" s="5">
        <v>64</v>
      </c>
      <c r="D83" t="str">
        <f t="shared" si="1"/>
        <v>1203-250979</v>
      </c>
    </row>
    <row r="84" spans="1:4" ht="14.25" customHeight="1">
      <c r="A84" s="4">
        <v>1203</v>
      </c>
      <c r="B84" s="4">
        <v>250981</v>
      </c>
      <c r="C84" s="5">
        <v>116</v>
      </c>
      <c r="D84" t="str">
        <f t="shared" si="1"/>
        <v>1203-250981</v>
      </c>
    </row>
    <row r="85" spans="1:4" ht="14.25" customHeight="1">
      <c r="A85" s="4">
        <v>1203</v>
      </c>
      <c r="B85" s="4">
        <v>262294</v>
      </c>
      <c r="C85" s="5">
        <v>118</v>
      </c>
      <c r="D85" t="str">
        <f t="shared" si="1"/>
        <v>1203-262294</v>
      </c>
    </row>
    <row r="86" spans="1:4" ht="14.25" customHeight="1">
      <c r="A86" s="4">
        <v>1203</v>
      </c>
      <c r="B86" s="4">
        <v>268831</v>
      </c>
      <c r="C86" s="5">
        <v>72</v>
      </c>
      <c r="D86" t="str">
        <f t="shared" si="1"/>
        <v>1203-268831</v>
      </c>
    </row>
    <row r="87" spans="1:4" ht="14.25" customHeight="1">
      <c r="A87" s="4">
        <v>1203</v>
      </c>
      <c r="B87" s="4">
        <v>273701</v>
      </c>
      <c r="C87" s="5">
        <v>92</v>
      </c>
      <c r="D87" t="str">
        <f t="shared" si="1"/>
        <v>1203-273701</v>
      </c>
    </row>
    <row r="88" spans="1:4" ht="14.25" customHeight="1">
      <c r="A88" s="4">
        <v>1203</v>
      </c>
      <c r="B88" s="4">
        <v>291726</v>
      </c>
      <c r="C88" s="5">
        <v>104</v>
      </c>
      <c r="D88" t="str">
        <f t="shared" si="1"/>
        <v>1203-291726</v>
      </c>
    </row>
    <row r="89" spans="1:4" ht="14.25" customHeight="1">
      <c r="A89" s="4">
        <v>1203</v>
      </c>
      <c r="B89" s="4">
        <v>291728</v>
      </c>
      <c r="C89" s="5">
        <v>86</v>
      </c>
      <c r="D89" t="str">
        <f t="shared" si="1"/>
        <v>1203-291728</v>
      </c>
    </row>
    <row r="90" spans="1:4" ht="14.25" customHeight="1">
      <c r="A90" s="4">
        <v>1203</v>
      </c>
      <c r="B90" s="4">
        <v>571521</v>
      </c>
      <c r="C90" s="5">
        <v>106</v>
      </c>
      <c r="D90" t="str">
        <f t="shared" si="1"/>
        <v>1203-571521</v>
      </c>
    </row>
    <row r="91" spans="1:4" ht="14.25" customHeight="1">
      <c r="A91" s="4">
        <v>1203</v>
      </c>
      <c r="B91" s="4">
        <v>614993</v>
      </c>
      <c r="C91" s="5">
        <v>90</v>
      </c>
      <c r="D91" t="str">
        <f t="shared" si="1"/>
        <v>1203-614993</v>
      </c>
    </row>
    <row r="92" spans="1:4" ht="14.25" customHeight="1">
      <c r="A92" s="4">
        <v>1204</v>
      </c>
      <c r="B92" s="4">
        <v>115600</v>
      </c>
      <c r="C92" s="5">
        <v>62</v>
      </c>
      <c r="D92" t="str">
        <f t="shared" si="1"/>
        <v>1204-115600</v>
      </c>
    </row>
    <row r="93" spans="1:4" ht="14.25" customHeight="1">
      <c r="A93" s="4">
        <v>1204</v>
      </c>
      <c r="B93" s="4">
        <v>129208</v>
      </c>
      <c r="C93" s="5">
        <v>116</v>
      </c>
      <c r="D93" t="str">
        <f t="shared" si="1"/>
        <v>1204-129208</v>
      </c>
    </row>
    <row r="94" spans="1:4" ht="14.25" customHeight="1">
      <c r="A94" s="4">
        <v>1204</v>
      </c>
      <c r="B94" s="4">
        <v>300380</v>
      </c>
      <c r="C94" s="5">
        <v>108</v>
      </c>
      <c r="D94" t="str">
        <f t="shared" si="1"/>
        <v>1204-300380</v>
      </c>
    </row>
    <row r="95" spans="1:4" ht="14.25" customHeight="1">
      <c r="A95" s="4">
        <v>1204</v>
      </c>
      <c r="B95" s="4">
        <v>23393</v>
      </c>
      <c r="C95" s="5">
        <v>98</v>
      </c>
      <c r="D95" t="str">
        <f t="shared" si="1"/>
        <v>1204-23393</v>
      </c>
    </row>
    <row r="96" spans="1:4" ht="14.25" customHeight="1">
      <c r="A96" s="4">
        <v>1204</v>
      </c>
      <c r="B96" s="4">
        <v>26764</v>
      </c>
      <c r="C96" s="5">
        <v>106</v>
      </c>
      <c r="D96" t="str">
        <f t="shared" si="1"/>
        <v>1204-26764</v>
      </c>
    </row>
    <row r="97" spans="1:4" ht="14.25" customHeight="1">
      <c r="A97" s="4">
        <v>1204</v>
      </c>
      <c r="B97" s="4">
        <v>53934</v>
      </c>
      <c r="C97" s="5">
        <v>110</v>
      </c>
      <c r="D97" t="str">
        <f t="shared" si="1"/>
        <v>1204-53934</v>
      </c>
    </row>
    <row r="98" spans="1:4" ht="14.25" customHeight="1">
      <c r="A98" s="4">
        <v>1204</v>
      </c>
      <c r="B98" s="4">
        <v>78699</v>
      </c>
      <c r="C98" s="5">
        <v>80</v>
      </c>
      <c r="D98" t="str">
        <f t="shared" si="1"/>
        <v>1204-78699</v>
      </c>
    </row>
    <row r="99" spans="1:4" ht="14.25" customHeight="1">
      <c r="A99" s="4">
        <v>1204</v>
      </c>
      <c r="B99" s="4">
        <v>78869</v>
      </c>
      <c r="C99" s="5">
        <v>120</v>
      </c>
      <c r="D99" t="str">
        <f t="shared" si="1"/>
        <v>1204-78869</v>
      </c>
    </row>
    <row r="100" spans="1:4" ht="14.25" customHeight="1">
      <c r="A100" s="4">
        <v>1204</v>
      </c>
      <c r="B100" s="4">
        <v>141622</v>
      </c>
      <c r="C100" s="5">
        <v>74</v>
      </c>
      <c r="D100" t="str">
        <f t="shared" si="1"/>
        <v>1204-141622</v>
      </c>
    </row>
    <row r="101" spans="1:4" ht="14.25" customHeight="1">
      <c r="A101" s="4">
        <v>1204</v>
      </c>
      <c r="B101" s="4">
        <v>141626</v>
      </c>
      <c r="C101" s="5">
        <v>118</v>
      </c>
      <c r="D101" t="str">
        <f t="shared" si="1"/>
        <v>1204-141626</v>
      </c>
    </row>
    <row r="102" spans="1:4" ht="14.25" customHeight="1">
      <c r="A102" s="4">
        <v>1204</v>
      </c>
      <c r="B102" s="4">
        <v>141791</v>
      </c>
      <c r="C102" s="5">
        <v>64</v>
      </c>
      <c r="D102" t="str">
        <f t="shared" si="1"/>
        <v>1204-141791</v>
      </c>
    </row>
    <row r="103" spans="1:4" ht="14.25" customHeight="1">
      <c r="A103" s="4">
        <v>1204</v>
      </c>
      <c r="B103" s="4">
        <v>141846</v>
      </c>
      <c r="C103" s="5">
        <v>88</v>
      </c>
      <c r="D103" t="str">
        <f t="shared" si="1"/>
        <v>1204-141846</v>
      </c>
    </row>
    <row r="104" spans="1:4" ht="14.25" customHeight="1">
      <c r="A104" s="4">
        <v>1204</v>
      </c>
      <c r="B104" s="4">
        <v>141967</v>
      </c>
      <c r="C104" s="5">
        <v>100</v>
      </c>
      <c r="D104" t="str">
        <f t="shared" si="1"/>
        <v>1204-141967</v>
      </c>
    </row>
    <row r="105" spans="1:4" ht="14.25" customHeight="1">
      <c r="A105" s="4">
        <v>1204</v>
      </c>
      <c r="B105" s="4">
        <v>142194</v>
      </c>
      <c r="C105" s="5">
        <v>62</v>
      </c>
      <c r="D105" t="str">
        <f t="shared" si="1"/>
        <v>1204-142194</v>
      </c>
    </row>
    <row r="106" spans="1:4" ht="14.25" customHeight="1">
      <c r="A106" s="4">
        <v>1204</v>
      </c>
      <c r="B106" s="4">
        <v>149729</v>
      </c>
      <c r="C106" s="5">
        <v>64</v>
      </c>
      <c r="D106" t="str">
        <f t="shared" si="1"/>
        <v>1204-149729</v>
      </c>
    </row>
    <row r="107" spans="1:4" ht="14.25" customHeight="1">
      <c r="A107" s="4">
        <v>1204</v>
      </c>
      <c r="B107" s="4">
        <v>149779</v>
      </c>
      <c r="C107" s="5">
        <v>56</v>
      </c>
      <c r="D107" t="str">
        <f t="shared" si="1"/>
        <v>1204-149779</v>
      </c>
    </row>
    <row r="108" spans="1:4" ht="14.25" customHeight="1">
      <c r="A108" s="4">
        <v>1204</v>
      </c>
      <c r="B108" s="4">
        <v>189933</v>
      </c>
      <c r="C108" s="5">
        <v>72</v>
      </c>
      <c r="D108" t="str">
        <f t="shared" si="1"/>
        <v>1204-189933</v>
      </c>
    </row>
    <row r="109" spans="1:4" ht="14.25" customHeight="1">
      <c r="A109" s="4">
        <v>1204</v>
      </c>
      <c r="B109" s="4">
        <v>202577</v>
      </c>
      <c r="C109" s="5">
        <v>104</v>
      </c>
      <c r="D109" t="str">
        <f t="shared" si="1"/>
        <v>1204-202577</v>
      </c>
    </row>
    <row r="110" spans="1:4" ht="14.25" customHeight="1">
      <c r="A110" s="4">
        <v>1204</v>
      </c>
      <c r="B110" s="4">
        <v>234334</v>
      </c>
      <c r="C110" s="5">
        <v>64</v>
      </c>
      <c r="D110" t="str">
        <f t="shared" si="1"/>
        <v>1204-234334</v>
      </c>
    </row>
    <row r="111" spans="1:4" ht="14.25" customHeight="1">
      <c r="A111" s="4">
        <v>1204</v>
      </c>
      <c r="B111" s="4">
        <v>249444</v>
      </c>
      <c r="C111" s="5">
        <v>84</v>
      </c>
      <c r="D111" t="str">
        <f t="shared" si="1"/>
        <v>1204-249444</v>
      </c>
    </row>
    <row r="112" spans="1:4" ht="14.25" customHeight="1">
      <c r="A112" s="4">
        <v>1204</v>
      </c>
      <c r="B112" s="4">
        <v>249795</v>
      </c>
      <c r="C112" s="5">
        <v>78</v>
      </c>
      <c r="D112" t="str">
        <f t="shared" si="1"/>
        <v>1204-249795</v>
      </c>
    </row>
    <row r="113" spans="1:4" ht="14.25" customHeight="1">
      <c r="A113" s="4">
        <v>1204</v>
      </c>
      <c r="B113" s="4">
        <v>250979</v>
      </c>
      <c r="C113" s="5">
        <v>90</v>
      </c>
      <c r="D113" t="str">
        <f t="shared" si="1"/>
        <v>1204-250979</v>
      </c>
    </row>
    <row r="114" spans="1:4" ht="14.25" customHeight="1">
      <c r="A114" s="4">
        <v>1204</v>
      </c>
      <c r="B114" s="4">
        <v>250981</v>
      </c>
      <c r="C114" s="5">
        <v>50</v>
      </c>
      <c r="D114" t="str">
        <f t="shared" si="1"/>
        <v>1204-250981</v>
      </c>
    </row>
    <row r="115" spans="1:4" ht="14.25" customHeight="1">
      <c r="A115" s="4">
        <v>1204</v>
      </c>
      <c r="B115" s="4">
        <v>262294</v>
      </c>
      <c r="C115" s="5">
        <v>46</v>
      </c>
      <c r="D115" t="str">
        <f t="shared" si="1"/>
        <v>1204-262294</v>
      </c>
    </row>
    <row r="116" spans="1:4" ht="14.25" customHeight="1">
      <c r="A116" s="4">
        <v>1204</v>
      </c>
      <c r="B116" s="4">
        <v>268831</v>
      </c>
      <c r="C116" s="5">
        <v>62</v>
      </c>
      <c r="D116" t="str">
        <f t="shared" si="1"/>
        <v>1204-268831</v>
      </c>
    </row>
    <row r="117" spans="1:4" ht="14.25" customHeight="1">
      <c r="A117" s="4">
        <v>1204</v>
      </c>
      <c r="B117" s="4">
        <v>273701</v>
      </c>
      <c r="C117" s="5">
        <v>56</v>
      </c>
      <c r="D117" t="str">
        <f t="shared" si="1"/>
        <v>1204-273701</v>
      </c>
    </row>
    <row r="118" spans="1:4" ht="14.25" customHeight="1">
      <c r="A118" s="4">
        <v>1204</v>
      </c>
      <c r="B118" s="4">
        <v>291726</v>
      </c>
      <c r="C118" s="5">
        <v>118</v>
      </c>
      <c r="D118" t="str">
        <f t="shared" si="1"/>
        <v>1204-291726</v>
      </c>
    </row>
    <row r="119" spans="1:4" ht="14.25" customHeight="1">
      <c r="A119" s="4">
        <v>1204</v>
      </c>
      <c r="B119" s="4">
        <v>291728</v>
      </c>
      <c r="C119" s="5">
        <v>48</v>
      </c>
      <c r="D119" t="str">
        <f t="shared" si="1"/>
        <v>1204-291728</v>
      </c>
    </row>
    <row r="120" spans="1:4" ht="14.25" customHeight="1">
      <c r="A120" s="4">
        <v>1204</v>
      </c>
      <c r="B120" s="4">
        <v>571521</v>
      </c>
      <c r="C120" s="5">
        <v>90</v>
      </c>
      <c r="D120" t="str">
        <f t="shared" si="1"/>
        <v>1204-571521</v>
      </c>
    </row>
    <row r="121" spans="1:4" ht="14.25" customHeight="1">
      <c r="A121" s="4">
        <v>1204</v>
      </c>
      <c r="B121" s="4">
        <v>614993</v>
      </c>
      <c r="C121" s="5">
        <v>90</v>
      </c>
      <c r="D121" t="str">
        <f t="shared" si="1"/>
        <v>1204-614993</v>
      </c>
    </row>
    <row r="122" spans="1:4" ht="14.25" customHeight="1">
      <c r="A122" s="4">
        <v>1205</v>
      </c>
      <c r="B122" s="4">
        <v>115600</v>
      </c>
      <c r="C122" s="5">
        <v>86</v>
      </c>
      <c r="D122" t="str">
        <f t="shared" si="1"/>
        <v>1205-115600</v>
      </c>
    </row>
    <row r="123" spans="1:4" ht="14.25" customHeight="1">
      <c r="A123" s="4">
        <v>1205</v>
      </c>
      <c r="B123" s="4">
        <v>129208</v>
      </c>
      <c r="C123" s="5">
        <v>118</v>
      </c>
      <c r="D123" t="str">
        <f t="shared" si="1"/>
        <v>1205-129208</v>
      </c>
    </row>
    <row r="124" spans="1:4" ht="14.25" customHeight="1">
      <c r="A124" s="4">
        <v>1205</v>
      </c>
      <c r="B124" s="4">
        <v>300380</v>
      </c>
      <c r="C124" s="5">
        <v>94</v>
      </c>
      <c r="D124" t="str">
        <f t="shared" si="1"/>
        <v>1205-300380</v>
      </c>
    </row>
    <row r="125" spans="1:4" ht="14.25" customHeight="1">
      <c r="A125" s="4">
        <v>1205</v>
      </c>
      <c r="B125" s="4">
        <v>23393</v>
      </c>
      <c r="C125" s="5">
        <v>98</v>
      </c>
      <c r="D125" t="str">
        <f t="shared" si="1"/>
        <v>1205-23393</v>
      </c>
    </row>
    <row r="126" spans="1:4" ht="14.25" customHeight="1">
      <c r="A126" s="4">
        <v>1205</v>
      </c>
      <c r="B126" s="4">
        <v>26764</v>
      </c>
      <c r="C126" s="5">
        <v>96</v>
      </c>
      <c r="D126" t="str">
        <f t="shared" si="1"/>
        <v>1205-26764</v>
      </c>
    </row>
    <row r="127" spans="1:4" ht="14.25" customHeight="1">
      <c r="A127" s="4">
        <v>1205</v>
      </c>
      <c r="B127" s="4">
        <v>53934</v>
      </c>
      <c r="C127" s="5">
        <v>58</v>
      </c>
      <c r="D127" t="str">
        <f t="shared" si="1"/>
        <v>1205-53934</v>
      </c>
    </row>
    <row r="128" spans="1:4" ht="14.25" customHeight="1">
      <c r="A128" s="4">
        <v>1205</v>
      </c>
      <c r="B128" s="4">
        <v>78699</v>
      </c>
      <c r="C128" s="5">
        <v>94</v>
      </c>
      <c r="D128" t="str">
        <f t="shared" si="1"/>
        <v>1205-78699</v>
      </c>
    </row>
    <row r="129" spans="1:4" ht="14.25" customHeight="1">
      <c r="A129" s="4">
        <v>1205</v>
      </c>
      <c r="B129" s="4">
        <v>78869</v>
      </c>
      <c r="C129" s="5">
        <v>114</v>
      </c>
      <c r="D129" t="str">
        <f t="shared" si="1"/>
        <v>1205-78869</v>
      </c>
    </row>
    <row r="130" spans="1:4" ht="14.25" customHeight="1">
      <c r="A130" s="4">
        <v>1205</v>
      </c>
      <c r="B130" s="4">
        <v>141622</v>
      </c>
      <c r="C130" s="5">
        <v>52</v>
      </c>
      <c r="D130" t="str">
        <f t="shared" si="1"/>
        <v>1205-141622</v>
      </c>
    </row>
    <row r="131" spans="1:4" ht="14.25" customHeight="1">
      <c r="A131" s="4">
        <v>1205</v>
      </c>
      <c r="B131" s="4">
        <v>141626</v>
      </c>
      <c r="C131" s="5">
        <v>110</v>
      </c>
      <c r="D131" t="str">
        <f t="shared" ref="D131:D194" si="2">A131&amp;"-"&amp;B131</f>
        <v>1205-141626</v>
      </c>
    </row>
    <row r="132" spans="1:4" ht="14.25" customHeight="1">
      <c r="A132" s="4">
        <v>1205</v>
      </c>
      <c r="B132" s="4">
        <v>141791</v>
      </c>
      <c r="C132" s="5">
        <v>70</v>
      </c>
      <c r="D132" t="str">
        <f t="shared" si="2"/>
        <v>1205-141791</v>
      </c>
    </row>
    <row r="133" spans="1:4" ht="14.25" customHeight="1">
      <c r="A133" s="4">
        <v>1205</v>
      </c>
      <c r="B133" s="4">
        <v>141846</v>
      </c>
      <c r="C133" s="5">
        <v>60</v>
      </c>
      <c r="D133" t="str">
        <f t="shared" si="2"/>
        <v>1205-141846</v>
      </c>
    </row>
    <row r="134" spans="1:4" ht="14.25" customHeight="1">
      <c r="A134" s="4">
        <v>1205</v>
      </c>
      <c r="B134" s="4">
        <v>141967</v>
      </c>
      <c r="C134" s="5">
        <v>94</v>
      </c>
      <c r="D134" t="str">
        <f t="shared" si="2"/>
        <v>1205-141967</v>
      </c>
    </row>
    <row r="135" spans="1:4" ht="14.25" customHeight="1">
      <c r="A135" s="4">
        <v>1205</v>
      </c>
      <c r="B135" s="4">
        <v>142194</v>
      </c>
      <c r="C135" s="5">
        <v>48</v>
      </c>
      <c r="D135" t="str">
        <f t="shared" si="2"/>
        <v>1205-142194</v>
      </c>
    </row>
    <row r="136" spans="1:4" ht="14.25" customHeight="1">
      <c r="A136" s="4">
        <v>1205</v>
      </c>
      <c r="B136" s="4">
        <v>149729</v>
      </c>
      <c r="C136" s="5">
        <v>80</v>
      </c>
      <c r="D136" t="str">
        <f t="shared" si="2"/>
        <v>1205-149729</v>
      </c>
    </row>
    <row r="137" spans="1:4" ht="14.25" customHeight="1">
      <c r="A137" s="4">
        <v>1205</v>
      </c>
      <c r="B137" s="4">
        <v>149779</v>
      </c>
      <c r="C137" s="5">
        <v>120</v>
      </c>
      <c r="D137" t="str">
        <f t="shared" si="2"/>
        <v>1205-149779</v>
      </c>
    </row>
    <row r="138" spans="1:4" ht="14.25" customHeight="1">
      <c r="A138" s="4">
        <v>1205</v>
      </c>
      <c r="B138" s="4">
        <v>189933</v>
      </c>
      <c r="C138" s="5">
        <v>60</v>
      </c>
      <c r="D138" t="str">
        <f t="shared" si="2"/>
        <v>1205-189933</v>
      </c>
    </row>
    <row r="139" spans="1:4" ht="14.25" customHeight="1">
      <c r="A139" s="4">
        <v>1205</v>
      </c>
      <c r="B139" s="4">
        <v>202577</v>
      </c>
      <c r="C139" s="5">
        <v>56</v>
      </c>
      <c r="D139" t="str">
        <f t="shared" si="2"/>
        <v>1205-202577</v>
      </c>
    </row>
    <row r="140" spans="1:4" ht="14.25" customHeight="1">
      <c r="A140" s="4">
        <v>1205</v>
      </c>
      <c r="B140" s="4">
        <v>234334</v>
      </c>
      <c r="C140" s="5">
        <v>86</v>
      </c>
      <c r="D140" t="str">
        <f t="shared" si="2"/>
        <v>1205-234334</v>
      </c>
    </row>
    <row r="141" spans="1:4" ht="14.25" customHeight="1">
      <c r="A141" s="4">
        <v>1205</v>
      </c>
      <c r="B141" s="4">
        <v>249444</v>
      </c>
      <c r="C141" s="5">
        <v>52</v>
      </c>
      <c r="D141" t="str">
        <f t="shared" si="2"/>
        <v>1205-249444</v>
      </c>
    </row>
    <row r="142" spans="1:4" ht="14.25" customHeight="1">
      <c r="A142" s="4">
        <v>1205</v>
      </c>
      <c r="B142" s="4">
        <v>249795</v>
      </c>
      <c r="C142" s="5">
        <v>96</v>
      </c>
      <c r="D142" t="str">
        <f t="shared" si="2"/>
        <v>1205-249795</v>
      </c>
    </row>
    <row r="143" spans="1:4" ht="14.25" customHeight="1">
      <c r="A143" s="4">
        <v>1205</v>
      </c>
      <c r="B143" s="4">
        <v>250979</v>
      </c>
      <c r="C143" s="5">
        <v>64</v>
      </c>
      <c r="D143" t="str">
        <f t="shared" si="2"/>
        <v>1205-250979</v>
      </c>
    </row>
    <row r="144" spans="1:4" ht="14.25" customHeight="1">
      <c r="A144" s="4">
        <v>1205</v>
      </c>
      <c r="B144" s="4">
        <v>250981</v>
      </c>
      <c r="C144" s="5">
        <v>72</v>
      </c>
      <c r="D144" t="str">
        <f t="shared" si="2"/>
        <v>1205-250981</v>
      </c>
    </row>
    <row r="145" spans="1:4" ht="14.25" customHeight="1">
      <c r="A145" s="4">
        <v>1205</v>
      </c>
      <c r="B145" s="4">
        <v>262294</v>
      </c>
      <c r="C145" s="5">
        <v>44</v>
      </c>
      <c r="D145" t="str">
        <f t="shared" si="2"/>
        <v>1205-262294</v>
      </c>
    </row>
    <row r="146" spans="1:4" ht="14.25" customHeight="1">
      <c r="A146" s="4">
        <v>1205</v>
      </c>
      <c r="B146" s="4">
        <v>268831</v>
      </c>
      <c r="C146" s="5">
        <v>78</v>
      </c>
      <c r="D146" t="str">
        <f t="shared" si="2"/>
        <v>1205-268831</v>
      </c>
    </row>
    <row r="147" spans="1:4" ht="14.25" customHeight="1">
      <c r="A147" s="4">
        <v>1205</v>
      </c>
      <c r="B147" s="4">
        <v>273701</v>
      </c>
      <c r="C147" s="5">
        <v>48</v>
      </c>
      <c r="D147" t="str">
        <f t="shared" si="2"/>
        <v>1205-273701</v>
      </c>
    </row>
    <row r="148" spans="1:4" ht="14.25" customHeight="1">
      <c r="A148" s="4">
        <v>1205</v>
      </c>
      <c r="B148" s="4">
        <v>291726</v>
      </c>
      <c r="C148" s="5">
        <v>48</v>
      </c>
      <c r="D148" t="str">
        <f t="shared" si="2"/>
        <v>1205-291726</v>
      </c>
    </row>
    <row r="149" spans="1:4" ht="14.25" customHeight="1">
      <c r="A149" s="4">
        <v>1205</v>
      </c>
      <c r="B149" s="4">
        <v>291728</v>
      </c>
      <c r="C149" s="5">
        <v>44</v>
      </c>
      <c r="D149" t="str">
        <f t="shared" si="2"/>
        <v>1205-291728</v>
      </c>
    </row>
    <row r="150" spans="1:4" ht="14.25" customHeight="1">
      <c r="A150" s="4">
        <v>1205</v>
      </c>
      <c r="B150" s="4">
        <v>571521</v>
      </c>
      <c r="C150" s="5">
        <v>120</v>
      </c>
      <c r="D150" t="str">
        <f t="shared" si="2"/>
        <v>1205-571521</v>
      </c>
    </row>
    <row r="151" spans="1:4" ht="14.25" customHeight="1">
      <c r="A151" s="4">
        <v>1205</v>
      </c>
      <c r="B151" s="4">
        <v>614993</v>
      </c>
      <c r="C151" s="5">
        <v>114</v>
      </c>
      <c r="D151" t="str">
        <f t="shared" si="2"/>
        <v>1205-614993</v>
      </c>
    </row>
    <row r="152" spans="1:4" ht="14.25" customHeight="1">
      <c r="A152" s="4">
        <v>1206</v>
      </c>
      <c r="B152" s="4">
        <v>115600</v>
      </c>
      <c r="C152" s="5">
        <v>44</v>
      </c>
      <c r="D152" t="str">
        <f t="shared" si="2"/>
        <v>1206-115600</v>
      </c>
    </row>
    <row r="153" spans="1:4" ht="14.25" customHeight="1">
      <c r="A153" s="4">
        <v>1206</v>
      </c>
      <c r="B153" s="4">
        <v>129208</v>
      </c>
      <c r="C153" s="5">
        <v>84</v>
      </c>
      <c r="D153" t="str">
        <f t="shared" si="2"/>
        <v>1206-129208</v>
      </c>
    </row>
    <row r="154" spans="1:4" ht="14.25" customHeight="1">
      <c r="A154" s="4">
        <v>1206</v>
      </c>
      <c r="B154" s="4">
        <v>300380</v>
      </c>
      <c r="C154" s="5">
        <v>110</v>
      </c>
      <c r="D154" t="str">
        <f t="shared" si="2"/>
        <v>1206-300380</v>
      </c>
    </row>
    <row r="155" spans="1:4" ht="14.25" customHeight="1">
      <c r="A155" s="4">
        <v>1206</v>
      </c>
      <c r="B155" s="4">
        <v>23393</v>
      </c>
      <c r="C155" s="5">
        <v>100</v>
      </c>
      <c r="D155" t="str">
        <f t="shared" si="2"/>
        <v>1206-23393</v>
      </c>
    </row>
    <row r="156" spans="1:4" ht="14.25" customHeight="1">
      <c r="A156" s="4">
        <v>1206</v>
      </c>
      <c r="B156" s="4">
        <v>26764</v>
      </c>
      <c r="C156" s="5">
        <v>96</v>
      </c>
      <c r="D156" t="str">
        <f t="shared" si="2"/>
        <v>1206-26764</v>
      </c>
    </row>
    <row r="157" spans="1:4" ht="14.25" customHeight="1">
      <c r="A157" s="4">
        <v>1206</v>
      </c>
      <c r="B157" s="4">
        <v>53934</v>
      </c>
      <c r="C157" s="5">
        <v>62</v>
      </c>
      <c r="D157" t="str">
        <f t="shared" si="2"/>
        <v>1206-53934</v>
      </c>
    </row>
    <row r="158" spans="1:4" ht="14.25" customHeight="1">
      <c r="A158" s="4">
        <v>1206</v>
      </c>
      <c r="B158" s="4">
        <v>78699</v>
      </c>
      <c r="C158" s="5">
        <v>82</v>
      </c>
      <c r="D158" t="str">
        <f t="shared" si="2"/>
        <v>1206-78699</v>
      </c>
    </row>
    <row r="159" spans="1:4" ht="14.25" customHeight="1">
      <c r="A159" s="4">
        <v>1206</v>
      </c>
      <c r="B159" s="4">
        <v>78869</v>
      </c>
      <c r="C159" s="5">
        <v>78</v>
      </c>
      <c r="D159" t="str">
        <f t="shared" si="2"/>
        <v>1206-78869</v>
      </c>
    </row>
    <row r="160" spans="1:4" ht="14.25" customHeight="1">
      <c r="A160" s="4">
        <v>1206</v>
      </c>
      <c r="B160" s="4">
        <v>141622</v>
      </c>
      <c r="C160" s="5">
        <v>66</v>
      </c>
      <c r="D160" t="str">
        <f t="shared" si="2"/>
        <v>1206-141622</v>
      </c>
    </row>
    <row r="161" spans="1:4" ht="14.25" customHeight="1">
      <c r="A161" s="4">
        <v>1206</v>
      </c>
      <c r="B161" s="4">
        <v>141626</v>
      </c>
      <c r="C161" s="5">
        <v>108</v>
      </c>
      <c r="D161" t="str">
        <f t="shared" si="2"/>
        <v>1206-141626</v>
      </c>
    </row>
    <row r="162" spans="1:4" ht="14.25" customHeight="1">
      <c r="A162" s="4">
        <v>1206</v>
      </c>
      <c r="B162" s="4">
        <v>141791</v>
      </c>
      <c r="C162" s="5">
        <v>120</v>
      </c>
      <c r="D162" t="str">
        <f t="shared" si="2"/>
        <v>1206-141791</v>
      </c>
    </row>
    <row r="163" spans="1:4" ht="14.25" customHeight="1">
      <c r="A163" s="4">
        <v>1206</v>
      </c>
      <c r="B163" s="4">
        <v>141846</v>
      </c>
      <c r="C163" s="5">
        <v>52</v>
      </c>
      <c r="D163" t="str">
        <f t="shared" si="2"/>
        <v>1206-141846</v>
      </c>
    </row>
    <row r="164" spans="1:4" ht="14.25" customHeight="1">
      <c r="A164" s="4">
        <v>1206</v>
      </c>
      <c r="B164" s="4">
        <v>141967</v>
      </c>
      <c r="C164" s="5">
        <v>48</v>
      </c>
      <c r="D164" t="str">
        <f t="shared" si="2"/>
        <v>1206-141967</v>
      </c>
    </row>
    <row r="165" spans="1:4" ht="14.25" customHeight="1">
      <c r="A165" s="4">
        <v>1206</v>
      </c>
      <c r="B165" s="4">
        <v>142194</v>
      </c>
      <c r="C165" s="5">
        <v>94</v>
      </c>
      <c r="D165" t="str">
        <f t="shared" si="2"/>
        <v>1206-142194</v>
      </c>
    </row>
    <row r="166" spans="1:4" ht="14.25" customHeight="1">
      <c r="A166" s="4">
        <v>1206</v>
      </c>
      <c r="B166" s="4">
        <v>149729</v>
      </c>
      <c r="C166" s="5">
        <v>84</v>
      </c>
      <c r="D166" t="str">
        <f t="shared" si="2"/>
        <v>1206-149729</v>
      </c>
    </row>
    <row r="167" spans="1:4" ht="14.25" customHeight="1">
      <c r="A167" s="4">
        <v>1206</v>
      </c>
      <c r="B167" s="4">
        <v>149779</v>
      </c>
      <c r="C167" s="5">
        <v>98</v>
      </c>
      <c r="D167" t="str">
        <f t="shared" si="2"/>
        <v>1206-149779</v>
      </c>
    </row>
    <row r="168" spans="1:4" ht="14.25" customHeight="1">
      <c r="A168" s="4">
        <v>1206</v>
      </c>
      <c r="B168" s="4">
        <v>189933</v>
      </c>
      <c r="C168" s="5">
        <v>88</v>
      </c>
      <c r="D168" t="str">
        <f t="shared" si="2"/>
        <v>1206-189933</v>
      </c>
    </row>
    <row r="169" spans="1:4" ht="14.25" customHeight="1">
      <c r="A169" s="4">
        <v>1206</v>
      </c>
      <c r="B169" s="4">
        <v>202577</v>
      </c>
      <c r="C169" s="5">
        <v>96</v>
      </c>
      <c r="D169" t="str">
        <f t="shared" si="2"/>
        <v>1206-202577</v>
      </c>
    </row>
    <row r="170" spans="1:4" ht="14.25" customHeight="1">
      <c r="A170" s="4">
        <v>1206</v>
      </c>
      <c r="B170" s="4">
        <v>234334</v>
      </c>
      <c r="C170" s="5">
        <v>94</v>
      </c>
      <c r="D170" t="str">
        <f t="shared" si="2"/>
        <v>1206-234334</v>
      </c>
    </row>
    <row r="171" spans="1:4" ht="14.25" customHeight="1">
      <c r="A171" s="4">
        <v>1206</v>
      </c>
      <c r="B171" s="4">
        <v>249444</v>
      </c>
      <c r="C171" s="5">
        <v>58</v>
      </c>
      <c r="D171" t="str">
        <f t="shared" si="2"/>
        <v>1206-249444</v>
      </c>
    </row>
    <row r="172" spans="1:4" ht="14.25" customHeight="1">
      <c r="A172" s="4">
        <v>1206</v>
      </c>
      <c r="B172" s="4">
        <v>249795</v>
      </c>
      <c r="C172" s="5">
        <v>84</v>
      </c>
      <c r="D172" t="str">
        <f t="shared" si="2"/>
        <v>1206-249795</v>
      </c>
    </row>
    <row r="173" spans="1:4" ht="14.25" customHeight="1">
      <c r="A173" s="4">
        <v>1206</v>
      </c>
      <c r="B173" s="4">
        <v>250979</v>
      </c>
      <c r="C173" s="5">
        <v>76</v>
      </c>
      <c r="D173" t="str">
        <f t="shared" si="2"/>
        <v>1206-250979</v>
      </c>
    </row>
    <row r="174" spans="1:4" ht="14.25" customHeight="1">
      <c r="A174" s="4">
        <v>1206</v>
      </c>
      <c r="B174" s="4">
        <v>250981</v>
      </c>
      <c r="C174" s="5">
        <v>40</v>
      </c>
      <c r="D174" t="str">
        <f t="shared" si="2"/>
        <v>1206-250981</v>
      </c>
    </row>
    <row r="175" spans="1:4" ht="14.25" customHeight="1">
      <c r="A175" s="4">
        <v>1206</v>
      </c>
      <c r="B175" s="4">
        <v>262294</v>
      </c>
      <c r="C175" s="5">
        <v>120</v>
      </c>
      <c r="D175" t="str">
        <f t="shared" si="2"/>
        <v>1206-262294</v>
      </c>
    </row>
    <row r="176" spans="1:4" ht="14.25" customHeight="1">
      <c r="A176" s="4">
        <v>1206</v>
      </c>
      <c r="B176" s="4">
        <v>268831</v>
      </c>
      <c r="C176" s="5">
        <v>108</v>
      </c>
      <c r="D176" t="str">
        <f t="shared" si="2"/>
        <v>1206-268831</v>
      </c>
    </row>
    <row r="177" spans="1:4" ht="14.25" customHeight="1">
      <c r="A177" s="4">
        <v>1206</v>
      </c>
      <c r="B177" s="4">
        <v>273701</v>
      </c>
      <c r="C177" s="5">
        <v>62</v>
      </c>
      <c r="D177" t="str">
        <f t="shared" si="2"/>
        <v>1206-273701</v>
      </c>
    </row>
    <row r="178" spans="1:4" ht="14.25" customHeight="1">
      <c r="A178" s="4">
        <v>1206</v>
      </c>
      <c r="B178" s="4">
        <v>291726</v>
      </c>
      <c r="C178" s="5">
        <v>104</v>
      </c>
      <c r="D178" t="str">
        <f t="shared" si="2"/>
        <v>1206-291726</v>
      </c>
    </row>
    <row r="179" spans="1:4" ht="14.25" customHeight="1">
      <c r="A179" s="4">
        <v>1206</v>
      </c>
      <c r="B179" s="4">
        <v>291728</v>
      </c>
      <c r="C179" s="5">
        <v>84</v>
      </c>
      <c r="D179" t="str">
        <f t="shared" si="2"/>
        <v>1206-291728</v>
      </c>
    </row>
    <row r="180" spans="1:4" ht="14.25" customHeight="1">
      <c r="A180" s="4">
        <v>1206</v>
      </c>
      <c r="B180" s="4">
        <v>571521</v>
      </c>
      <c r="C180" s="5">
        <v>40</v>
      </c>
      <c r="D180" t="str">
        <f t="shared" si="2"/>
        <v>1206-571521</v>
      </c>
    </row>
    <row r="181" spans="1:4" ht="14.25" customHeight="1">
      <c r="A181" s="4">
        <v>1206</v>
      </c>
      <c r="B181" s="4">
        <v>614993</v>
      </c>
      <c r="C181" s="5">
        <v>44</v>
      </c>
      <c r="D181" t="str">
        <f t="shared" si="2"/>
        <v>1206-614993</v>
      </c>
    </row>
    <row r="182" spans="1:4" ht="14.25" customHeight="1">
      <c r="A182" s="4">
        <v>1207</v>
      </c>
      <c r="B182" s="4">
        <v>115600</v>
      </c>
      <c r="C182" s="5">
        <v>52</v>
      </c>
      <c r="D182" t="str">
        <f t="shared" si="2"/>
        <v>1207-115600</v>
      </c>
    </row>
    <row r="183" spans="1:4" ht="14.25" customHeight="1">
      <c r="A183" s="4">
        <v>1207</v>
      </c>
      <c r="B183" s="4">
        <v>129208</v>
      </c>
      <c r="C183" s="5">
        <v>98</v>
      </c>
      <c r="D183" t="str">
        <f t="shared" si="2"/>
        <v>1207-129208</v>
      </c>
    </row>
    <row r="184" spans="1:4" ht="14.25" customHeight="1">
      <c r="A184" s="4">
        <v>1207</v>
      </c>
      <c r="B184" s="4">
        <v>300380</v>
      </c>
      <c r="C184" s="5">
        <v>60</v>
      </c>
      <c r="D184" t="str">
        <f t="shared" si="2"/>
        <v>1207-300380</v>
      </c>
    </row>
    <row r="185" spans="1:4" ht="14.25" customHeight="1">
      <c r="A185" s="4">
        <v>1207</v>
      </c>
      <c r="B185" s="4">
        <v>23393</v>
      </c>
      <c r="C185" s="5">
        <v>42</v>
      </c>
      <c r="D185" t="str">
        <f t="shared" si="2"/>
        <v>1207-23393</v>
      </c>
    </row>
    <row r="186" spans="1:4" ht="14.25" customHeight="1">
      <c r="A186" s="4">
        <v>1207</v>
      </c>
      <c r="B186" s="4">
        <v>26764</v>
      </c>
      <c r="C186" s="5">
        <v>96</v>
      </c>
      <c r="D186" t="str">
        <f t="shared" si="2"/>
        <v>1207-26764</v>
      </c>
    </row>
    <row r="187" spans="1:4" ht="14.25" customHeight="1">
      <c r="A187" s="4">
        <v>1207</v>
      </c>
      <c r="B187" s="4">
        <v>53934</v>
      </c>
      <c r="C187" s="5">
        <v>62</v>
      </c>
      <c r="D187" t="str">
        <f t="shared" si="2"/>
        <v>1207-53934</v>
      </c>
    </row>
    <row r="188" spans="1:4" ht="14.25" customHeight="1">
      <c r="A188" s="4">
        <v>1207</v>
      </c>
      <c r="B188" s="4">
        <v>78699</v>
      </c>
      <c r="C188" s="5">
        <v>74</v>
      </c>
      <c r="D188" t="str">
        <f t="shared" si="2"/>
        <v>1207-78699</v>
      </c>
    </row>
    <row r="189" spans="1:4" ht="14.25" customHeight="1">
      <c r="A189" s="4">
        <v>1207</v>
      </c>
      <c r="B189" s="4">
        <v>78869</v>
      </c>
      <c r="C189" s="5">
        <v>96</v>
      </c>
      <c r="D189" t="str">
        <f t="shared" si="2"/>
        <v>1207-78869</v>
      </c>
    </row>
    <row r="190" spans="1:4" ht="14.25" customHeight="1">
      <c r="A190" s="4">
        <v>1207</v>
      </c>
      <c r="B190" s="4">
        <v>141622</v>
      </c>
      <c r="C190" s="5">
        <v>94</v>
      </c>
      <c r="D190" t="str">
        <f t="shared" si="2"/>
        <v>1207-141622</v>
      </c>
    </row>
    <row r="191" spans="1:4" ht="14.25" customHeight="1">
      <c r="A191" s="4">
        <v>1207</v>
      </c>
      <c r="B191" s="4">
        <v>141626</v>
      </c>
      <c r="C191" s="5">
        <v>68</v>
      </c>
      <c r="D191" t="str">
        <f t="shared" si="2"/>
        <v>1207-141626</v>
      </c>
    </row>
    <row r="192" spans="1:4" ht="14.25" customHeight="1">
      <c r="A192" s="4">
        <v>1207</v>
      </c>
      <c r="B192" s="4">
        <v>141791</v>
      </c>
      <c r="C192" s="5">
        <v>116</v>
      </c>
      <c r="D192" t="str">
        <f t="shared" si="2"/>
        <v>1207-141791</v>
      </c>
    </row>
    <row r="193" spans="1:4" ht="14.25" customHeight="1">
      <c r="A193" s="4">
        <v>1207</v>
      </c>
      <c r="B193" s="4">
        <v>141846</v>
      </c>
      <c r="C193" s="5">
        <v>60</v>
      </c>
      <c r="D193" t="str">
        <f t="shared" si="2"/>
        <v>1207-141846</v>
      </c>
    </row>
    <row r="194" spans="1:4" ht="14.25" customHeight="1">
      <c r="A194" s="4">
        <v>1207</v>
      </c>
      <c r="B194" s="4">
        <v>141967</v>
      </c>
      <c r="C194" s="5">
        <v>100</v>
      </c>
      <c r="D194" t="str">
        <f t="shared" si="2"/>
        <v>1207-141967</v>
      </c>
    </row>
    <row r="195" spans="1:4" ht="14.25" customHeight="1">
      <c r="A195" s="4">
        <v>1207</v>
      </c>
      <c r="B195" s="4">
        <v>142194</v>
      </c>
      <c r="C195" s="5">
        <v>96</v>
      </c>
      <c r="D195" t="str">
        <f t="shared" ref="D195:D258" si="3">A195&amp;"-"&amp;B195</f>
        <v>1207-142194</v>
      </c>
    </row>
    <row r="196" spans="1:4" ht="14.25" customHeight="1">
      <c r="A196" s="4">
        <v>1207</v>
      </c>
      <c r="B196" s="4">
        <v>149729</v>
      </c>
      <c r="C196" s="5">
        <v>96</v>
      </c>
      <c r="D196" t="str">
        <f t="shared" si="3"/>
        <v>1207-149729</v>
      </c>
    </row>
    <row r="197" spans="1:4" ht="14.25" customHeight="1">
      <c r="A197" s="4">
        <v>1207</v>
      </c>
      <c r="B197" s="4">
        <v>149779</v>
      </c>
      <c r="C197" s="5">
        <v>80</v>
      </c>
      <c r="D197" t="str">
        <f t="shared" si="3"/>
        <v>1207-149779</v>
      </c>
    </row>
    <row r="198" spans="1:4" ht="14.25" customHeight="1">
      <c r="A198" s="4">
        <v>1207</v>
      </c>
      <c r="B198" s="4">
        <v>189933</v>
      </c>
      <c r="C198" s="5">
        <v>58</v>
      </c>
      <c r="D198" t="str">
        <f t="shared" si="3"/>
        <v>1207-189933</v>
      </c>
    </row>
    <row r="199" spans="1:4" ht="14.25" customHeight="1">
      <c r="A199" s="4">
        <v>1207</v>
      </c>
      <c r="B199" s="4">
        <v>202577</v>
      </c>
      <c r="C199" s="5">
        <v>78</v>
      </c>
      <c r="D199" t="str">
        <f t="shared" si="3"/>
        <v>1207-202577</v>
      </c>
    </row>
    <row r="200" spans="1:4" ht="14.25" customHeight="1">
      <c r="A200" s="4">
        <v>1207</v>
      </c>
      <c r="B200" s="4">
        <v>234334</v>
      </c>
      <c r="C200" s="5">
        <v>118</v>
      </c>
      <c r="D200" t="str">
        <f t="shared" si="3"/>
        <v>1207-234334</v>
      </c>
    </row>
    <row r="201" spans="1:4" ht="14.25" customHeight="1">
      <c r="A201" s="4">
        <v>1207</v>
      </c>
      <c r="B201" s="4">
        <v>249444</v>
      </c>
      <c r="C201" s="5">
        <v>106</v>
      </c>
      <c r="D201" t="str">
        <f t="shared" si="3"/>
        <v>1207-249444</v>
      </c>
    </row>
    <row r="202" spans="1:4" ht="14.25" customHeight="1">
      <c r="A202" s="4">
        <v>1207</v>
      </c>
      <c r="B202" s="4">
        <v>249795</v>
      </c>
      <c r="C202" s="5">
        <v>94</v>
      </c>
      <c r="D202" t="str">
        <f t="shared" si="3"/>
        <v>1207-249795</v>
      </c>
    </row>
    <row r="203" spans="1:4" ht="14.25" customHeight="1">
      <c r="A203" s="4">
        <v>1207</v>
      </c>
      <c r="B203" s="4">
        <v>250979</v>
      </c>
      <c r="C203" s="5">
        <v>106</v>
      </c>
      <c r="D203" t="str">
        <f t="shared" si="3"/>
        <v>1207-250979</v>
      </c>
    </row>
    <row r="204" spans="1:4" ht="14.25" customHeight="1">
      <c r="A204" s="4">
        <v>1207</v>
      </c>
      <c r="B204" s="4">
        <v>250981</v>
      </c>
      <c r="C204" s="5">
        <v>74</v>
      </c>
      <c r="D204" t="str">
        <f t="shared" si="3"/>
        <v>1207-250981</v>
      </c>
    </row>
    <row r="205" spans="1:4" ht="14.25" customHeight="1">
      <c r="A205" s="4">
        <v>1207</v>
      </c>
      <c r="B205" s="4">
        <v>262294</v>
      </c>
      <c r="C205" s="5">
        <v>72</v>
      </c>
      <c r="D205" t="str">
        <f t="shared" si="3"/>
        <v>1207-262294</v>
      </c>
    </row>
    <row r="206" spans="1:4" ht="14.25" customHeight="1">
      <c r="A206" s="4">
        <v>1207</v>
      </c>
      <c r="B206" s="4">
        <v>268831</v>
      </c>
      <c r="C206" s="5">
        <v>80</v>
      </c>
      <c r="D206" t="str">
        <f t="shared" si="3"/>
        <v>1207-268831</v>
      </c>
    </row>
    <row r="207" spans="1:4" ht="14.25" customHeight="1">
      <c r="A207" s="4">
        <v>1207</v>
      </c>
      <c r="B207" s="4">
        <v>273701</v>
      </c>
      <c r="C207" s="5">
        <v>116</v>
      </c>
      <c r="D207" t="str">
        <f t="shared" si="3"/>
        <v>1207-273701</v>
      </c>
    </row>
    <row r="208" spans="1:4" ht="14.25" customHeight="1">
      <c r="A208" s="4">
        <v>1207</v>
      </c>
      <c r="B208" s="4">
        <v>291726</v>
      </c>
      <c r="C208" s="5">
        <v>84</v>
      </c>
      <c r="D208" t="str">
        <f t="shared" si="3"/>
        <v>1207-291726</v>
      </c>
    </row>
    <row r="209" spans="1:4" ht="14.25" customHeight="1">
      <c r="A209" s="4">
        <v>1207</v>
      </c>
      <c r="B209" s="4">
        <v>291728</v>
      </c>
      <c r="C209" s="5">
        <v>90</v>
      </c>
      <c r="D209" t="str">
        <f t="shared" si="3"/>
        <v>1207-291728</v>
      </c>
    </row>
    <row r="210" spans="1:4" ht="14.25" customHeight="1">
      <c r="A210" s="4">
        <v>1207</v>
      </c>
      <c r="B210" s="4">
        <v>571521</v>
      </c>
      <c r="C210" s="5">
        <v>96</v>
      </c>
      <c r="D210" t="str">
        <f t="shared" si="3"/>
        <v>1207-571521</v>
      </c>
    </row>
    <row r="211" spans="1:4" ht="14.25" customHeight="1">
      <c r="A211" s="4">
        <v>1207</v>
      </c>
      <c r="B211" s="4">
        <v>614993</v>
      </c>
      <c r="C211" s="5">
        <v>64</v>
      </c>
      <c r="D211" t="str">
        <f t="shared" si="3"/>
        <v>1207-614993</v>
      </c>
    </row>
    <row r="212" spans="1:4" ht="14.25" customHeight="1">
      <c r="A212" s="4">
        <v>1208</v>
      </c>
      <c r="B212" s="4">
        <v>23393</v>
      </c>
      <c r="C212" s="5">
        <v>72</v>
      </c>
      <c r="D212" t="str">
        <f t="shared" si="3"/>
        <v>1208-23393</v>
      </c>
    </row>
    <row r="213" spans="1:4" ht="14.25" customHeight="1">
      <c r="A213" s="4">
        <v>1208</v>
      </c>
      <c r="B213" s="4">
        <v>26764</v>
      </c>
      <c r="C213" s="5">
        <v>92</v>
      </c>
      <c r="D213" t="str">
        <f t="shared" si="3"/>
        <v>1208-26764</v>
      </c>
    </row>
    <row r="214" spans="1:4" ht="14.25" customHeight="1">
      <c r="A214" s="4">
        <v>1208</v>
      </c>
      <c r="B214" s="4">
        <v>78869</v>
      </c>
      <c r="C214" s="5">
        <v>50</v>
      </c>
      <c r="D214" t="str">
        <f t="shared" si="3"/>
        <v>1208-78869</v>
      </c>
    </row>
    <row r="215" spans="1:4" ht="14.25" customHeight="1">
      <c r="A215" s="4">
        <v>1208</v>
      </c>
      <c r="B215" s="4">
        <v>141622</v>
      </c>
      <c r="C215" s="5">
        <v>100</v>
      </c>
      <c r="D215" t="str">
        <f t="shared" si="3"/>
        <v>1208-141622</v>
      </c>
    </row>
    <row r="216" spans="1:4" ht="14.25" customHeight="1">
      <c r="A216" s="4">
        <v>1208</v>
      </c>
      <c r="B216" s="4">
        <v>141626</v>
      </c>
      <c r="C216" s="5">
        <v>56</v>
      </c>
      <c r="D216" t="str">
        <f t="shared" si="3"/>
        <v>1208-141626</v>
      </c>
    </row>
    <row r="217" spans="1:4" ht="14.25" customHeight="1">
      <c r="A217" s="4">
        <v>1208</v>
      </c>
      <c r="B217" s="4">
        <v>141967</v>
      </c>
      <c r="C217" s="5">
        <v>88</v>
      </c>
      <c r="D217" t="str">
        <f t="shared" si="3"/>
        <v>1208-141967</v>
      </c>
    </row>
    <row r="218" spans="1:4" ht="14.25" customHeight="1">
      <c r="A218" s="4">
        <v>1208</v>
      </c>
      <c r="B218" s="4">
        <v>142194</v>
      </c>
      <c r="C218" s="5">
        <v>70</v>
      </c>
      <c r="D218" t="str">
        <f t="shared" si="3"/>
        <v>1208-142194</v>
      </c>
    </row>
    <row r="219" spans="1:4" ht="14.25" customHeight="1">
      <c r="A219" s="4">
        <v>1208</v>
      </c>
      <c r="B219" s="4">
        <v>149779</v>
      </c>
      <c r="C219" s="5">
        <v>80</v>
      </c>
      <c r="D219" t="str">
        <f t="shared" si="3"/>
        <v>1208-149779</v>
      </c>
    </row>
    <row r="220" spans="1:4" ht="14.25" customHeight="1">
      <c r="A220" s="4">
        <v>1208</v>
      </c>
      <c r="B220" s="4">
        <v>189933</v>
      </c>
      <c r="C220" s="5">
        <v>92</v>
      </c>
      <c r="D220" t="str">
        <f t="shared" si="3"/>
        <v>1208-189933</v>
      </c>
    </row>
    <row r="221" spans="1:4" ht="14.25" customHeight="1">
      <c r="A221" s="4">
        <v>1208</v>
      </c>
      <c r="B221" s="4">
        <v>202577</v>
      </c>
      <c r="C221" s="5">
        <v>64</v>
      </c>
      <c r="D221" t="str">
        <f t="shared" si="3"/>
        <v>1208-202577</v>
      </c>
    </row>
    <row r="222" spans="1:4" ht="14.25" customHeight="1">
      <c r="A222" s="4">
        <v>1208</v>
      </c>
      <c r="B222" s="4">
        <v>234334</v>
      </c>
      <c r="C222" s="5">
        <v>98</v>
      </c>
      <c r="D222" t="str">
        <f t="shared" si="3"/>
        <v>1208-234334</v>
      </c>
    </row>
    <row r="223" spans="1:4" ht="14.25" customHeight="1">
      <c r="A223" s="4">
        <v>1208</v>
      </c>
      <c r="B223" s="4">
        <v>249444</v>
      </c>
      <c r="C223" s="5">
        <v>80</v>
      </c>
      <c r="D223" t="str">
        <f t="shared" si="3"/>
        <v>1208-249444</v>
      </c>
    </row>
    <row r="224" spans="1:4" ht="14.25" customHeight="1">
      <c r="A224" s="4">
        <v>1208</v>
      </c>
      <c r="B224" s="4">
        <v>249795</v>
      </c>
      <c r="C224" s="5">
        <v>40</v>
      </c>
      <c r="D224" t="str">
        <f t="shared" si="3"/>
        <v>1208-249795</v>
      </c>
    </row>
    <row r="225" spans="1:4" ht="14.25" customHeight="1">
      <c r="A225" s="4">
        <v>1208</v>
      </c>
      <c r="B225" s="4">
        <v>250979</v>
      </c>
      <c r="C225" s="5">
        <v>86</v>
      </c>
      <c r="D225" t="str">
        <f t="shared" si="3"/>
        <v>1208-250979</v>
      </c>
    </row>
    <row r="226" spans="1:4" ht="14.25" customHeight="1">
      <c r="A226" s="4">
        <v>1208</v>
      </c>
      <c r="B226" s="4">
        <v>250981</v>
      </c>
      <c r="C226" s="5">
        <v>72</v>
      </c>
      <c r="D226" t="str">
        <f t="shared" si="3"/>
        <v>1208-250981</v>
      </c>
    </row>
    <row r="227" spans="1:4" ht="14.25" customHeight="1">
      <c r="A227" s="4">
        <v>1208</v>
      </c>
      <c r="B227" s="4">
        <v>262294</v>
      </c>
      <c r="C227" s="5">
        <v>76</v>
      </c>
      <c r="D227" t="str">
        <f t="shared" si="3"/>
        <v>1208-262294</v>
      </c>
    </row>
    <row r="228" spans="1:4" ht="14.25" customHeight="1">
      <c r="A228" s="4">
        <v>1208</v>
      </c>
      <c r="B228" s="4">
        <v>291726</v>
      </c>
      <c r="C228" s="5">
        <v>102</v>
      </c>
      <c r="D228" t="str">
        <f t="shared" si="3"/>
        <v>1208-291726</v>
      </c>
    </row>
    <row r="229" spans="1:4" ht="14.25" customHeight="1">
      <c r="A229" s="4">
        <v>1208</v>
      </c>
      <c r="B229" s="4">
        <v>291728</v>
      </c>
      <c r="C229" s="5">
        <v>60</v>
      </c>
      <c r="D229" t="str">
        <f t="shared" si="3"/>
        <v>1208-291728</v>
      </c>
    </row>
    <row r="230" spans="1:4" ht="14.25" customHeight="1">
      <c r="A230" s="4">
        <v>1209</v>
      </c>
      <c r="B230" s="4">
        <v>115600</v>
      </c>
      <c r="C230" s="5">
        <v>88</v>
      </c>
      <c r="D230" t="str">
        <f t="shared" si="3"/>
        <v>1209-115600</v>
      </c>
    </row>
    <row r="231" spans="1:4" ht="14.25" customHeight="1">
      <c r="A231" s="4">
        <v>1209</v>
      </c>
      <c r="B231" s="4">
        <v>129208</v>
      </c>
      <c r="C231" s="5">
        <v>90</v>
      </c>
      <c r="D231" t="str">
        <f t="shared" si="3"/>
        <v>1209-129208</v>
      </c>
    </row>
    <row r="232" spans="1:4" ht="14.25" customHeight="1">
      <c r="A232" s="4">
        <v>1209</v>
      </c>
      <c r="B232" s="4">
        <v>300380</v>
      </c>
      <c r="C232" s="5">
        <v>112</v>
      </c>
      <c r="D232" t="str">
        <f t="shared" si="3"/>
        <v>1209-300380</v>
      </c>
    </row>
    <row r="233" spans="1:4" ht="14.25" customHeight="1">
      <c r="A233" s="4">
        <v>1209</v>
      </c>
      <c r="B233" s="4">
        <v>23393</v>
      </c>
      <c r="C233" s="5">
        <v>92</v>
      </c>
      <c r="D233" t="str">
        <f t="shared" si="3"/>
        <v>1209-23393</v>
      </c>
    </row>
    <row r="234" spans="1:4" ht="14.25" customHeight="1">
      <c r="A234" s="4">
        <v>1209</v>
      </c>
      <c r="B234" s="4">
        <v>26764</v>
      </c>
      <c r="C234" s="5">
        <v>58</v>
      </c>
      <c r="D234" t="str">
        <f t="shared" si="3"/>
        <v>1209-26764</v>
      </c>
    </row>
    <row r="235" spans="1:4" ht="14.25" customHeight="1">
      <c r="A235" s="4">
        <v>1209</v>
      </c>
      <c r="B235" s="4">
        <v>53934</v>
      </c>
      <c r="C235" s="5">
        <v>68</v>
      </c>
      <c r="D235" t="str">
        <f t="shared" si="3"/>
        <v>1209-53934</v>
      </c>
    </row>
    <row r="236" spans="1:4" ht="14.25" customHeight="1">
      <c r="A236" s="4">
        <v>1209</v>
      </c>
      <c r="B236" s="4">
        <v>141622</v>
      </c>
      <c r="C236" s="5">
        <v>92</v>
      </c>
      <c r="D236" t="str">
        <f t="shared" si="3"/>
        <v>1209-141622</v>
      </c>
    </row>
    <row r="237" spans="1:4" ht="14.25" customHeight="1">
      <c r="A237" s="4">
        <v>1209</v>
      </c>
      <c r="B237" s="4">
        <v>141626</v>
      </c>
      <c r="C237" s="5">
        <v>62</v>
      </c>
      <c r="D237" t="str">
        <f t="shared" si="3"/>
        <v>1209-141626</v>
      </c>
    </row>
    <row r="238" spans="1:4" ht="14.25" customHeight="1">
      <c r="A238" s="4">
        <v>1209</v>
      </c>
      <c r="B238" s="4">
        <v>141791</v>
      </c>
      <c r="C238" s="5">
        <v>40</v>
      </c>
      <c r="D238" t="str">
        <f t="shared" si="3"/>
        <v>1209-141791</v>
      </c>
    </row>
    <row r="239" spans="1:4" ht="14.25" customHeight="1">
      <c r="A239" s="4">
        <v>1209</v>
      </c>
      <c r="B239" s="4">
        <v>141967</v>
      </c>
      <c r="C239" s="5">
        <v>94</v>
      </c>
      <c r="D239" t="str">
        <f t="shared" si="3"/>
        <v>1209-141967</v>
      </c>
    </row>
    <row r="240" spans="1:4" ht="14.25" customHeight="1">
      <c r="A240" s="4">
        <v>1209</v>
      </c>
      <c r="B240" s="4">
        <v>142194</v>
      </c>
      <c r="C240" s="5">
        <v>74</v>
      </c>
      <c r="D240" t="str">
        <f t="shared" si="3"/>
        <v>1209-142194</v>
      </c>
    </row>
    <row r="241" spans="1:4" ht="14.25" customHeight="1">
      <c r="A241" s="4">
        <v>1209</v>
      </c>
      <c r="B241" s="4">
        <v>189933</v>
      </c>
      <c r="C241" s="5">
        <v>84</v>
      </c>
      <c r="D241" t="str">
        <f t="shared" si="3"/>
        <v>1209-189933</v>
      </c>
    </row>
    <row r="242" spans="1:4" ht="14.25" customHeight="1">
      <c r="A242" s="4">
        <v>1209</v>
      </c>
      <c r="B242" s="4">
        <v>202577</v>
      </c>
      <c r="C242" s="5">
        <v>74</v>
      </c>
      <c r="D242" t="str">
        <f t="shared" si="3"/>
        <v>1209-202577</v>
      </c>
    </row>
    <row r="243" spans="1:4" ht="14.25" customHeight="1">
      <c r="A243" s="4">
        <v>1209</v>
      </c>
      <c r="B243" s="4">
        <v>249444</v>
      </c>
      <c r="C243" s="5">
        <v>96</v>
      </c>
      <c r="D243" t="str">
        <f t="shared" si="3"/>
        <v>1209-249444</v>
      </c>
    </row>
    <row r="244" spans="1:4" ht="14.25" customHeight="1">
      <c r="A244" s="4">
        <v>1209</v>
      </c>
      <c r="B244" s="4">
        <v>249795</v>
      </c>
      <c r="C244" s="5">
        <v>96</v>
      </c>
      <c r="D244" t="str">
        <f t="shared" si="3"/>
        <v>1209-249795</v>
      </c>
    </row>
    <row r="245" spans="1:4" ht="14.25" customHeight="1">
      <c r="A245" s="4">
        <v>1209</v>
      </c>
      <c r="B245" s="4">
        <v>250979</v>
      </c>
      <c r="C245" s="5">
        <v>116</v>
      </c>
      <c r="D245" t="str">
        <f t="shared" si="3"/>
        <v>1209-250979</v>
      </c>
    </row>
    <row r="246" spans="1:4" ht="14.25" customHeight="1">
      <c r="A246" s="4">
        <v>1209</v>
      </c>
      <c r="B246" s="4">
        <v>250981</v>
      </c>
      <c r="C246" s="5">
        <v>118</v>
      </c>
      <c r="D246" t="str">
        <f t="shared" si="3"/>
        <v>1209-250981</v>
      </c>
    </row>
    <row r="247" spans="1:4" ht="14.25" customHeight="1">
      <c r="A247" s="4">
        <v>1209</v>
      </c>
      <c r="B247" s="4">
        <v>262294</v>
      </c>
      <c r="C247" s="5">
        <v>74</v>
      </c>
      <c r="D247" t="str">
        <f t="shared" si="3"/>
        <v>1209-262294</v>
      </c>
    </row>
    <row r="248" spans="1:4" ht="14.25" customHeight="1">
      <c r="A248" s="4">
        <v>1209</v>
      </c>
      <c r="B248" s="4">
        <v>268831</v>
      </c>
      <c r="C248" s="5">
        <v>78</v>
      </c>
      <c r="D248" t="str">
        <f t="shared" si="3"/>
        <v>1209-268831</v>
      </c>
    </row>
    <row r="249" spans="1:4" ht="14.25" customHeight="1">
      <c r="A249" s="4">
        <v>1209</v>
      </c>
      <c r="B249" s="4">
        <v>273701</v>
      </c>
      <c r="C249" s="5">
        <v>62</v>
      </c>
      <c r="D249" t="str">
        <f t="shared" si="3"/>
        <v>1209-273701</v>
      </c>
    </row>
    <row r="250" spans="1:4" ht="14.25" customHeight="1">
      <c r="A250" s="4">
        <v>1209</v>
      </c>
      <c r="B250" s="4">
        <v>291726</v>
      </c>
      <c r="C250" s="5">
        <v>50</v>
      </c>
      <c r="D250" t="str">
        <f t="shared" si="3"/>
        <v>1209-291726</v>
      </c>
    </row>
    <row r="251" spans="1:4" ht="14.25" customHeight="1">
      <c r="A251" s="4">
        <v>1209</v>
      </c>
      <c r="B251" s="4">
        <v>571521</v>
      </c>
      <c r="C251" s="5">
        <v>66</v>
      </c>
      <c r="D251" t="str">
        <f t="shared" si="3"/>
        <v>1209-571521</v>
      </c>
    </row>
    <row r="252" spans="1:4" ht="14.25" customHeight="1">
      <c r="A252" s="4">
        <v>1210</v>
      </c>
      <c r="B252" s="4">
        <v>115600</v>
      </c>
      <c r="C252" s="5">
        <v>54</v>
      </c>
      <c r="D252" t="str">
        <f t="shared" si="3"/>
        <v>1210-115600</v>
      </c>
    </row>
    <row r="253" spans="1:4" ht="14.25" customHeight="1">
      <c r="A253" s="4">
        <v>1210</v>
      </c>
      <c r="B253" s="4">
        <v>129208</v>
      </c>
      <c r="C253" s="5">
        <v>112</v>
      </c>
      <c r="D253" t="str">
        <f t="shared" si="3"/>
        <v>1210-129208</v>
      </c>
    </row>
    <row r="254" spans="1:4" ht="14.25" customHeight="1">
      <c r="A254" s="4">
        <v>1210</v>
      </c>
      <c r="B254" s="4">
        <v>300380</v>
      </c>
      <c r="C254" s="5">
        <v>108</v>
      </c>
      <c r="D254" t="str">
        <f t="shared" si="3"/>
        <v>1210-300380</v>
      </c>
    </row>
    <row r="255" spans="1:4" ht="14.25" customHeight="1">
      <c r="A255" s="4">
        <v>1210</v>
      </c>
      <c r="B255" s="4">
        <v>23393</v>
      </c>
      <c r="C255" s="5">
        <v>770</v>
      </c>
      <c r="D255" t="str">
        <f t="shared" si="3"/>
        <v>1210-23393</v>
      </c>
    </row>
    <row r="256" spans="1:4" ht="14.25" customHeight="1">
      <c r="A256" s="4">
        <v>1210</v>
      </c>
      <c r="B256" s="4">
        <v>26764</v>
      </c>
      <c r="C256" s="5">
        <v>90</v>
      </c>
      <c r="D256" t="str">
        <f t="shared" si="3"/>
        <v>1210-26764</v>
      </c>
    </row>
    <row r="257" spans="1:4" ht="14.25" customHeight="1">
      <c r="A257" s="4">
        <v>1210</v>
      </c>
      <c r="B257" s="4">
        <v>53934</v>
      </c>
      <c r="C257" s="5">
        <v>110</v>
      </c>
      <c r="D257" t="str">
        <f t="shared" si="3"/>
        <v>1210-53934</v>
      </c>
    </row>
    <row r="258" spans="1:4" ht="14.25" customHeight="1">
      <c r="A258" s="4">
        <v>1210</v>
      </c>
      <c r="B258" s="4">
        <v>78699</v>
      </c>
      <c r="C258" s="5">
        <v>50</v>
      </c>
      <c r="D258" t="str">
        <f t="shared" si="3"/>
        <v>1210-78699</v>
      </c>
    </row>
    <row r="259" spans="1:4" ht="14.25" customHeight="1">
      <c r="A259" s="4">
        <v>1210</v>
      </c>
      <c r="B259" s="4">
        <v>78869</v>
      </c>
      <c r="C259" s="5">
        <v>110</v>
      </c>
      <c r="D259" t="str">
        <f t="shared" ref="D259:D322" si="4">A259&amp;"-"&amp;B259</f>
        <v>1210-78869</v>
      </c>
    </row>
    <row r="260" spans="1:4" ht="14.25" customHeight="1">
      <c r="A260" s="4">
        <v>1210</v>
      </c>
      <c r="B260" s="4">
        <v>141622</v>
      </c>
      <c r="C260" s="5">
        <v>64</v>
      </c>
      <c r="D260" t="str">
        <f t="shared" si="4"/>
        <v>1210-141622</v>
      </c>
    </row>
    <row r="261" spans="1:4" ht="14.25" customHeight="1">
      <c r="A261" s="4">
        <v>1210</v>
      </c>
      <c r="B261" s="4">
        <v>141626</v>
      </c>
      <c r="C261" s="5">
        <v>42</v>
      </c>
      <c r="D261" t="str">
        <f t="shared" si="4"/>
        <v>1210-141626</v>
      </c>
    </row>
    <row r="262" spans="1:4" ht="14.25" customHeight="1">
      <c r="A262" s="4">
        <v>1210</v>
      </c>
      <c r="B262" s="4">
        <v>141791</v>
      </c>
      <c r="C262" s="5">
        <v>90</v>
      </c>
      <c r="D262" t="str">
        <f t="shared" si="4"/>
        <v>1210-141791</v>
      </c>
    </row>
    <row r="263" spans="1:4" ht="14.25" customHeight="1">
      <c r="A263" s="4">
        <v>1210</v>
      </c>
      <c r="B263" s="4">
        <v>141846</v>
      </c>
      <c r="C263" s="5">
        <v>58</v>
      </c>
      <c r="D263" t="str">
        <f t="shared" si="4"/>
        <v>1210-141846</v>
      </c>
    </row>
    <row r="264" spans="1:4" ht="14.25" customHeight="1">
      <c r="A264" s="4">
        <v>1210</v>
      </c>
      <c r="B264" s="4">
        <v>141967</v>
      </c>
      <c r="C264" s="5">
        <v>48</v>
      </c>
      <c r="D264" t="str">
        <f t="shared" si="4"/>
        <v>1210-141967</v>
      </c>
    </row>
    <row r="265" spans="1:4" ht="14.25" customHeight="1">
      <c r="A265" s="4">
        <v>1210</v>
      </c>
      <c r="B265" s="4">
        <v>142194</v>
      </c>
      <c r="C265" s="5">
        <v>108</v>
      </c>
      <c r="D265" t="str">
        <f t="shared" si="4"/>
        <v>1210-142194</v>
      </c>
    </row>
    <row r="266" spans="1:4" ht="14.25" customHeight="1">
      <c r="A266" s="4">
        <v>1210</v>
      </c>
      <c r="B266" s="4">
        <v>149729</v>
      </c>
      <c r="C266" s="5">
        <v>90</v>
      </c>
      <c r="D266" t="str">
        <f t="shared" si="4"/>
        <v>1210-149729</v>
      </c>
    </row>
    <row r="267" spans="1:4" ht="14.25" customHeight="1">
      <c r="A267" s="4">
        <v>1210</v>
      </c>
      <c r="B267" s="4">
        <v>149779</v>
      </c>
      <c r="C267" s="5">
        <v>86</v>
      </c>
      <c r="D267" t="str">
        <f t="shared" si="4"/>
        <v>1210-149779</v>
      </c>
    </row>
    <row r="268" spans="1:4" ht="14.25" customHeight="1">
      <c r="A268" s="4">
        <v>1210</v>
      </c>
      <c r="B268" s="4">
        <v>189933</v>
      </c>
      <c r="C268" s="5">
        <v>40</v>
      </c>
      <c r="D268" t="str">
        <f t="shared" si="4"/>
        <v>1210-189933</v>
      </c>
    </row>
    <row r="269" spans="1:4" ht="14.25" customHeight="1">
      <c r="A269" s="4">
        <v>1210</v>
      </c>
      <c r="B269" s="4">
        <v>202577</v>
      </c>
      <c r="C269" s="5">
        <v>94</v>
      </c>
      <c r="D269" t="str">
        <f t="shared" si="4"/>
        <v>1210-202577</v>
      </c>
    </row>
    <row r="270" spans="1:4" ht="14.25" customHeight="1">
      <c r="A270" s="4">
        <v>1210</v>
      </c>
      <c r="B270" s="4">
        <v>234334</v>
      </c>
      <c r="C270" s="5">
        <v>46</v>
      </c>
      <c r="D270" t="str">
        <f t="shared" si="4"/>
        <v>1210-234334</v>
      </c>
    </row>
    <row r="271" spans="1:4" ht="14.25" customHeight="1">
      <c r="A271" s="4">
        <v>1210</v>
      </c>
      <c r="B271" s="4">
        <v>249444</v>
      </c>
      <c r="C271" s="5">
        <v>58</v>
      </c>
      <c r="D271" t="str">
        <f t="shared" si="4"/>
        <v>1210-249444</v>
      </c>
    </row>
    <row r="272" spans="1:4" ht="14.25" customHeight="1">
      <c r="A272" s="4">
        <v>1210</v>
      </c>
      <c r="B272" s="4">
        <v>249795</v>
      </c>
      <c r="C272" s="5">
        <v>104</v>
      </c>
      <c r="D272" t="str">
        <f t="shared" si="4"/>
        <v>1210-249795</v>
      </c>
    </row>
    <row r="273" spans="1:4" ht="14.25" customHeight="1">
      <c r="A273" s="4">
        <v>1210</v>
      </c>
      <c r="B273" s="4">
        <v>250979</v>
      </c>
      <c r="C273" s="5">
        <v>104</v>
      </c>
      <c r="D273" t="str">
        <f t="shared" si="4"/>
        <v>1210-250979</v>
      </c>
    </row>
    <row r="274" spans="1:4" ht="14.25" customHeight="1">
      <c r="A274" s="4">
        <v>1210</v>
      </c>
      <c r="B274" s="4">
        <v>250981</v>
      </c>
      <c r="C274" s="5">
        <v>66</v>
      </c>
      <c r="D274" t="str">
        <f t="shared" si="4"/>
        <v>1210-250981</v>
      </c>
    </row>
    <row r="275" spans="1:4" ht="14.25" customHeight="1">
      <c r="A275" s="4">
        <v>1210</v>
      </c>
      <c r="B275" s="4">
        <v>262294</v>
      </c>
      <c r="C275" s="5">
        <v>100</v>
      </c>
      <c r="D275" t="str">
        <f t="shared" si="4"/>
        <v>1210-262294</v>
      </c>
    </row>
    <row r="276" spans="1:4" ht="14.25" customHeight="1">
      <c r="A276" s="4">
        <v>1210</v>
      </c>
      <c r="B276" s="4">
        <v>268831</v>
      </c>
      <c r="C276" s="5">
        <v>78</v>
      </c>
      <c r="D276" t="str">
        <f t="shared" si="4"/>
        <v>1210-268831</v>
      </c>
    </row>
    <row r="277" spans="1:4" ht="14.25" customHeight="1">
      <c r="A277" s="4">
        <v>1210</v>
      </c>
      <c r="B277" s="4">
        <v>273701</v>
      </c>
      <c r="C277" s="5">
        <v>54</v>
      </c>
      <c r="D277" t="str">
        <f t="shared" si="4"/>
        <v>1210-273701</v>
      </c>
    </row>
    <row r="278" spans="1:4" ht="14.25" customHeight="1">
      <c r="A278" s="4">
        <v>1210</v>
      </c>
      <c r="B278" s="4">
        <v>291726</v>
      </c>
      <c r="C278" s="5">
        <v>92</v>
      </c>
      <c r="D278" t="str">
        <f t="shared" si="4"/>
        <v>1210-291726</v>
      </c>
    </row>
    <row r="279" spans="1:4" ht="14.25" customHeight="1">
      <c r="A279" s="4">
        <v>1210</v>
      </c>
      <c r="B279" s="4">
        <v>291728</v>
      </c>
      <c r="C279" s="5">
        <v>116</v>
      </c>
      <c r="D279" t="str">
        <f t="shared" si="4"/>
        <v>1210-291728</v>
      </c>
    </row>
    <row r="280" spans="1:4" ht="14.25" customHeight="1">
      <c r="A280" s="4">
        <v>1210</v>
      </c>
      <c r="B280" s="4">
        <v>571521</v>
      </c>
      <c r="C280" s="5">
        <v>54</v>
      </c>
      <c r="D280" t="str">
        <f t="shared" si="4"/>
        <v>1210-571521</v>
      </c>
    </row>
    <row r="281" spans="1:4" ht="14.25" customHeight="1">
      <c r="A281" s="4">
        <v>1210</v>
      </c>
      <c r="B281" s="4">
        <v>614993</v>
      </c>
      <c r="C281" s="5">
        <v>90</v>
      </c>
      <c r="D281" t="str">
        <f t="shared" si="4"/>
        <v>1210-614993</v>
      </c>
    </row>
    <row r="282" spans="1:4" ht="14.25" customHeight="1">
      <c r="A282" s="4">
        <v>1211</v>
      </c>
      <c r="B282" s="4">
        <v>115600</v>
      </c>
      <c r="C282" s="5">
        <v>78</v>
      </c>
      <c r="D282" t="str">
        <f t="shared" si="4"/>
        <v>1211-115600</v>
      </c>
    </row>
    <row r="283" spans="1:4" ht="14.25" customHeight="1">
      <c r="A283" s="4">
        <v>1211</v>
      </c>
      <c r="B283" s="4">
        <v>129208</v>
      </c>
      <c r="C283" s="5">
        <v>56</v>
      </c>
      <c r="D283" t="str">
        <f t="shared" si="4"/>
        <v>1211-129208</v>
      </c>
    </row>
    <row r="284" spans="1:4" ht="14.25" customHeight="1">
      <c r="A284" s="4">
        <v>1211</v>
      </c>
      <c r="B284" s="4">
        <v>300380</v>
      </c>
      <c r="C284" s="5">
        <v>82</v>
      </c>
      <c r="D284" t="str">
        <f t="shared" si="4"/>
        <v>1211-300380</v>
      </c>
    </row>
    <row r="285" spans="1:4" ht="14.25" customHeight="1">
      <c r="A285" s="4">
        <v>1211</v>
      </c>
      <c r="B285" s="4">
        <v>23393</v>
      </c>
      <c r="C285" s="5">
        <v>60</v>
      </c>
      <c r="D285" t="str">
        <f t="shared" si="4"/>
        <v>1211-23393</v>
      </c>
    </row>
    <row r="286" spans="1:4" ht="14.25" customHeight="1">
      <c r="A286" s="4">
        <v>1211</v>
      </c>
      <c r="B286" s="4">
        <v>26764</v>
      </c>
      <c r="C286" s="5">
        <v>112</v>
      </c>
      <c r="D286" t="str">
        <f t="shared" si="4"/>
        <v>1211-26764</v>
      </c>
    </row>
    <row r="287" spans="1:4" ht="14.25" customHeight="1">
      <c r="A287" s="4">
        <v>1211</v>
      </c>
      <c r="B287" s="4">
        <v>53934</v>
      </c>
      <c r="C287" s="5">
        <v>90</v>
      </c>
      <c r="D287" t="str">
        <f t="shared" si="4"/>
        <v>1211-53934</v>
      </c>
    </row>
    <row r="288" spans="1:4" ht="14.25" customHeight="1">
      <c r="A288" s="4">
        <v>1211</v>
      </c>
      <c r="B288" s="4">
        <v>78699</v>
      </c>
      <c r="C288" s="5">
        <v>110</v>
      </c>
      <c r="D288" t="str">
        <f t="shared" si="4"/>
        <v>1211-78699</v>
      </c>
    </row>
    <row r="289" spans="1:4" ht="14.25" customHeight="1">
      <c r="A289" s="4">
        <v>1211</v>
      </c>
      <c r="B289" s="4">
        <v>78869</v>
      </c>
      <c r="C289" s="5">
        <v>50</v>
      </c>
      <c r="D289" t="str">
        <f t="shared" si="4"/>
        <v>1211-78869</v>
      </c>
    </row>
    <row r="290" spans="1:4" ht="14.25" customHeight="1">
      <c r="A290" s="4">
        <v>1211</v>
      </c>
      <c r="B290" s="4">
        <v>141622</v>
      </c>
      <c r="C290" s="5">
        <v>110</v>
      </c>
      <c r="D290" t="str">
        <f t="shared" si="4"/>
        <v>1211-141622</v>
      </c>
    </row>
    <row r="291" spans="1:4" ht="14.25" customHeight="1">
      <c r="A291" s="4">
        <v>1211</v>
      </c>
      <c r="B291" s="4">
        <v>141626</v>
      </c>
      <c r="C291" s="5">
        <v>72</v>
      </c>
      <c r="D291" t="str">
        <f t="shared" si="4"/>
        <v>1211-141626</v>
      </c>
    </row>
    <row r="292" spans="1:4" ht="14.25" customHeight="1">
      <c r="A292" s="4">
        <v>1211</v>
      </c>
      <c r="B292" s="4">
        <v>141791</v>
      </c>
      <c r="C292" s="5">
        <v>88</v>
      </c>
      <c r="D292" t="str">
        <f t="shared" si="4"/>
        <v>1211-141791</v>
      </c>
    </row>
    <row r="293" spans="1:4" ht="14.25" customHeight="1">
      <c r="A293" s="4">
        <v>1211</v>
      </c>
      <c r="B293" s="4">
        <v>141846</v>
      </c>
      <c r="C293" s="5">
        <v>106</v>
      </c>
      <c r="D293" t="str">
        <f t="shared" si="4"/>
        <v>1211-141846</v>
      </c>
    </row>
    <row r="294" spans="1:4" ht="14.25" customHeight="1">
      <c r="A294" s="4">
        <v>1211</v>
      </c>
      <c r="B294" s="4">
        <v>141967</v>
      </c>
      <c r="C294" s="5">
        <v>96</v>
      </c>
      <c r="D294" t="str">
        <f t="shared" si="4"/>
        <v>1211-141967</v>
      </c>
    </row>
    <row r="295" spans="1:4" ht="14.25" customHeight="1">
      <c r="A295" s="4">
        <v>1211</v>
      </c>
      <c r="B295" s="4">
        <v>142194</v>
      </c>
      <c r="C295" s="5">
        <v>62</v>
      </c>
      <c r="D295" t="str">
        <f t="shared" si="4"/>
        <v>1211-142194</v>
      </c>
    </row>
    <row r="296" spans="1:4" ht="14.25" customHeight="1">
      <c r="A296" s="4">
        <v>1211</v>
      </c>
      <c r="B296" s="4">
        <v>149729</v>
      </c>
      <c r="C296" s="5">
        <v>70</v>
      </c>
      <c r="D296" t="str">
        <f t="shared" si="4"/>
        <v>1211-149729</v>
      </c>
    </row>
    <row r="297" spans="1:4" ht="14.25" customHeight="1">
      <c r="A297" s="4">
        <v>1211</v>
      </c>
      <c r="B297" s="4">
        <v>149779</v>
      </c>
      <c r="C297" s="5">
        <v>62</v>
      </c>
      <c r="D297" t="str">
        <f t="shared" si="4"/>
        <v>1211-149779</v>
      </c>
    </row>
    <row r="298" spans="1:4" ht="14.25" customHeight="1">
      <c r="A298" s="4">
        <v>1211</v>
      </c>
      <c r="B298" s="4">
        <v>189933</v>
      </c>
      <c r="C298" s="5">
        <v>76</v>
      </c>
      <c r="D298" t="str">
        <f t="shared" si="4"/>
        <v>1211-189933</v>
      </c>
    </row>
    <row r="299" spans="1:4" ht="14.25" customHeight="1">
      <c r="A299" s="4">
        <v>1211</v>
      </c>
      <c r="B299" s="4">
        <v>202577</v>
      </c>
      <c r="C299" s="5">
        <v>86</v>
      </c>
      <c r="D299" t="str">
        <f t="shared" si="4"/>
        <v>1211-202577</v>
      </c>
    </row>
    <row r="300" spans="1:4" ht="14.25" customHeight="1">
      <c r="A300" s="4">
        <v>1211</v>
      </c>
      <c r="B300" s="4">
        <v>234334</v>
      </c>
      <c r="C300" s="5">
        <v>116</v>
      </c>
      <c r="D300" t="str">
        <f t="shared" si="4"/>
        <v>1211-234334</v>
      </c>
    </row>
    <row r="301" spans="1:4" ht="14.25" customHeight="1">
      <c r="A301" s="4">
        <v>1211</v>
      </c>
      <c r="B301" s="4">
        <v>249444</v>
      </c>
      <c r="C301" s="5">
        <v>48</v>
      </c>
      <c r="D301" t="str">
        <f t="shared" si="4"/>
        <v>1211-249444</v>
      </c>
    </row>
    <row r="302" spans="1:4" ht="14.25" customHeight="1">
      <c r="A302" s="4">
        <v>1211</v>
      </c>
      <c r="B302" s="4">
        <v>249795</v>
      </c>
      <c r="C302" s="5">
        <v>118</v>
      </c>
      <c r="D302" t="str">
        <f t="shared" si="4"/>
        <v>1211-249795</v>
      </c>
    </row>
    <row r="303" spans="1:4" ht="14.25" customHeight="1">
      <c r="A303" s="4">
        <v>1211</v>
      </c>
      <c r="B303" s="4">
        <v>250979</v>
      </c>
      <c r="C303" s="5">
        <v>86</v>
      </c>
      <c r="D303" t="str">
        <f t="shared" si="4"/>
        <v>1211-250979</v>
      </c>
    </row>
    <row r="304" spans="1:4" ht="14.25" customHeight="1">
      <c r="A304" s="4">
        <v>1211</v>
      </c>
      <c r="B304" s="4">
        <v>250981</v>
      </c>
      <c r="C304" s="5">
        <v>58</v>
      </c>
      <c r="D304" t="str">
        <f t="shared" si="4"/>
        <v>1211-250981</v>
      </c>
    </row>
    <row r="305" spans="1:4" ht="14.25" customHeight="1">
      <c r="A305" s="4">
        <v>1211</v>
      </c>
      <c r="B305" s="4">
        <v>262294</v>
      </c>
      <c r="C305" s="5">
        <v>42</v>
      </c>
      <c r="D305" t="str">
        <f t="shared" si="4"/>
        <v>1211-262294</v>
      </c>
    </row>
    <row r="306" spans="1:4" ht="14.25" customHeight="1">
      <c r="A306" s="4">
        <v>1211</v>
      </c>
      <c r="B306" s="4">
        <v>268831</v>
      </c>
      <c r="C306" s="5">
        <v>104</v>
      </c>
      <c r="D306" t="str">
        <f t="shared" si="4"/>
        <v>1211-268831</v>
      </c>
    </row>
    <row r="307" spans="1:4" ht="14.25" customHeight="1">
      <c r="A307" s="4">
        <v>1211</v>
      </c>
      <c r="B307" s="4">
        <v>273701</v>
      </c>
      <c r="C307" s="5">
        <v>100</v>
      </c>
      <c r="D307" t="str">
        <f t="shared" si="4"/>
        <v>1211-273701</v>
      </c>
    </row>
    <row r="308" spans="1:4" ht="14.25" customHeight="1">
      <c r="A308" s="4">
        <v>1211</v>
      </c>
      <c r="B308" s="4">
        <v>291726</v>
      </c>
      <c r="C308" s="5">
        <v>96</v>
      </c>
      <c r="D308" t="str">
        <f t="shared" si="4"/>
        <v>1211-291726</v>
      </c>
    </row>
    <row r="309" spans="1:4" ht="14.25" customHeight="1">
      <c r="A309" s="4">
        <v>1211</v>
      </c>
      <c r="B309" s="4">
        <v>291728</v>
      </c>
      <c r="C309" s="5">
        <v>70</v>
      </c>
      <c r="D309" t="str">
        <f t="shared" si="4"/>
        <v>1211-291728</v>
      </c>
    </row>
    <row r="310" spans="1:4" ht="14.25" customHeight="1">
      <c r="A310" s="4">
        <v>1211</v>
      </c>
      <c r="B310" s="4">
        <v>571521</v>
      </c>
      <c r="C310" s="5">
        <v>44</v>
      </c>
      <c r="D310" t="str">
        <f t="shared" si="4"/>
        <v>1211-571521</v>
      </c>
    </row>
    <row r="311" spans="1:4" ht="14.25" customHeight="1">
      <c r="A311" s="4">
        <v>1211</v>
      </c>
      <c r="B311" s="4">
        <v>614993</v>
      </c>
      <c r="C311" s="5">
        <v>118</v>
      </c>
      <c r="D311" t="str">
        <f t="shared" si="4"/>
        <v>1211-614993</v>
      </c>
    </row>
    <row r="312" spans="1:4" ht="14.25" customHeight="1">
      <c r="A312" s="4">
        <v>1212</v>
      </c>
      <c r="B312" s="4">
        <v>300380</v>
      </c>
      <c r="C312" s="5">
        <v>70</v>
      </c>
      <c r="D312" t="str">
        <f t="shared" si="4"/>
        <v>1212-300380</v>
      </c>
    </row>
    <row r="313" spans="1:4" ht="14.25" customHeight="1">
      <c r="A313" s="4">
        <v>1212</v>
      </c>
      <c r="B313" s="4">
        <v>23393</v>
      </c>
      <c r="C313" s="5">
        <v>88</v>
      </c>
      <c r="D313" t="str">
        <f t="shared" si="4"/>
        <v>1212-23393</v>
      </c>
    </row>
    <row r="314" spans="1:4" ht="14.25" customHeight="1">
      <c r="A314" s="4">
        <v>1212</v>
      </c>
      <c r="B314" s="4">
        <v>26764</v>
      </c>
      <c r="C314" s="5">
        <v>66</v>
      </c>
      <c r="D314" t="str">
        <f t="shared" si="4"/>
        <v>1212-26764</v>
      </c>
    </row>
    <row r="315" spans="1:4" ht="14.25" customHeight="1">
      <c r="A315" s="4">
        <v>1212</v>
      </c>
      <c r="B315" s="4">
        <v>53934</v>
      </c>
      <c r="C315" s="5">
        <v>98</v>
      </c>
      <c r="D315" t="str">
        <f t="shared" si="4"/>
        <v>1212-53934</v>
      </c>
    </row>
    <row r="316" spans="1:4" ht="14.25" customHeight="1">
      <c r="A316" s="4">
        <v>1212</v>
      </c>
      <c r="B316" s="4">
        <v>78699</v>
      </c>
      <c r="C316" s="5">
        <v>94</v>
      </c>
      <c r="D316" t="str">
        <f t="shared" si="4"/>
        <v>1212-78699</v>
      </c>
    </row>
    <row r="317" spans="1:4" ht="14.25" customHeight="1">
      <c r="A317" s="4">
        <v>1212</v>
      </c>
      <c r="B317" s="4">
        <v>78869</v>
      </c>
      <c r="C317" s="5">
        <v>40</v>
      </c>
      <c r="D317" t="str">
        <f t="shared" si="4"/>
        <v>1212-78869</v>
      </c>
    </row>
    <row r="318" spans="1:4" ht="14.25" customHeight="1">
      <c r="A318" s="4">
        <v>1212</v>
      </c>
      <c r="B318" s="4">
        <v>141626</v>
      </c>
      <c r="C318" s="5">
        <v>64</v>
      </c>
      <c r="D318" t="str">
        <f t="shared" si="4"/>
        <v>1212-141626</v>
      </c>
    </row>
    <row r="319" spans="1:4" ht="14.25" customHeight="1">
      <c r="A319" s="4">
        <v>1212</v>
      </c>
      <c r="B319" s="4">
        <v>141791</v>
      </c>
      <c r="C319" s="5">
        <v>58</v>
      </c>
      <c r="D319" t="str">
        <f t="shared" si="4"/>
        <v>1212-141791</v>
      </c>
    </row>
    <row r="320" spans="1:4" ht="14.25" customHeight="1">
      <c r="A320" s="4">
        <v>1212</v>
      </c>
      <c r="B320" s="4">
        <v>141967</v>
      </c>
      <c r="C320" s="5">
        <v>90</v>
      </c>
      <c r="D320" t="str">
        <f t="shared" si="4"/>
        <v>1212-141967</v>
      </c>
    </row>
    <row r="321" spans="1:4" ht="14.25" customHeight="1">
      <c r="A321" s="4">
        <v>1212</v>
      </c>
      <c r="B321" s="4">
        <v>142194</v>
      </c>
      <c r="C321" s="5">
        <v>96</v>
      </c>
      <c r="D321" t="str">
        <f t="shared" si="4"/>
        <v>1212-142194</v>
      </c>
    </row>
    <row r="322" spans="1:4" ht="14.25" customHeight="1">
      <c r="A322" s="4">
        <v>1212</v>
      </c>
      <c r="B322" s="4">
        <v>149729</v>
      </c>
      <c r="C322" s="5">
        <v>82</v>
      </c>
      <c r="D322" t="str">
        <f t="shared" si="4"/>
        <v>1212-149729</v>
      </c>
    </row>
    <row r="323" spans="1:4" ht="14.25" customHeight="1">
      <c r="A323" s="4">
        <v>1212</v>
      </c>
      <c r="B323" s="4">
        <v>149779</v>
      </c>
      <c r="C323" s="5">
        <v>72</v>
      </c>
      <c r="D323" t="str">
        <f t="shared" ref="D323:D386" si="5">A323&amp;"-"&amp;B323</f>
        <v>1212-149779</v>
      </c>
    </row>
    <row r="324" spans="1:4" ht="14.25" customHeight="1">
      <c r="A324" s="4">
        <v>1212</v>
      </c>
      <c r="B324" s="4">
        <v>202577</v>
      </c>
      <c r="C324" s="5">
        <v>74</v>
      </c>
      <c r="D324" t="str">
        <f t="shared" si="5"/>
        <v>1212-202577</v>
      </c>
    </row>
    <row r="325" spans="1:4" ht="14.25" customHeight="1">
      <c r="A325" s="4">
        <v>1212</v>
      </c>
      <c r="B325" s="4">
        <v>234334</v>
      </c>
      <c r="C325" s="5">
        <v>90</v>
      </c>
      <c r="D325" t="str">
        <f t="shared" si="5"/>
        <v>1212-234334</v>
      </c>
    </row>
    <row r="326" spans="1:4" ht="14.25" customHeight="1">
      <c r="A326" s="4">
        <v>1212</v>
      </c>
      <c r="B326" s="4">
        <v>249444</v>
      </c>
      <c r="C326" s="5">
        <v>40</v>
      </c>
      <c r="D326" t="str">
        <f t="shared" si="5"/>
        <v>1212-249444</v>
      </c>
    </row>
    <row r="327" spans="1:4" ht="14.25" customHeight="1">
      <c r="A327" s="4">
        <v>1212</v>
      </c>
      <c r="B327" s="4">
        <v>250979</v>
      </c>
      <c r="C327" s="5">
        <v>92</v>
      </c>
      <c r="D327" t="str">
        <f t="shared" si="5"/>
        <v>1212-250979</v>
      </c>
    </row>
    <row r="328" spans="1:4" ht="14.25" customHeight="1">
      <c r="A328" s="4">
        <v>1212</v>
      </c>
      <c r="B328" s="4">
        <v>250981</v>
      </c>
      <c r="C328" s="5">
        <v>108</v>
      </c>
      <c r="D328" t="str">
        <f t="shared" si="5"/>
        <v>1212-250981</v>
      </c>
    </row>
    <row r="329" spans="1:4" ht="14.25" customHeight="1">
      <c r="A329" s="4">
        <v>1212</v>
      </c>
      <c r="B329" s="4">
        <v>262294</v>
      </c>
      <c r="C329" s="5">
        <v>80</v>
      </c>
      <c r="D329" t="str">
        <f t="shared" si="5"/>
        <v>1212-262294</v>
      </c>
    </row>
    <row r="330" spans="1:4" ht="14.25" customHeight="1">
      <c r="A330" s="4">
        <v>1212</v>
      </c>
      <c r="B330" s="4">
        <v>268831</v>
      </c>
      <c r="C330" s="5">
        <v>54</v>
      </c>
      <c r="D330" t="str">
        <f t="shared" si="5"/>
        <v>1212-268831</v>
      </c>
    </row>
    <row r="331" spans="1:4" ht="14.25" customHeight="1">
      <c r="A331" s="4">
        <v>1212</v>
      </c>
      <c r="B331" s="4">
        <v>273701</v>
      </c>
      <c r="C331" s="5">
        <v>72</v>
      </c>
      <c r="D331" t="str">
        <f t="shared" si="5"/>
        <v>1212-273701</v>
      </c>
    </row>
    <row r="332" spans="1:4" ht="14.25" customHeight="1">
      <c r="A332" s="4">
        <v>1212</v>
      </c>
      <c r="B332" s="4">
        <v>291726</v>
      </c>
      <c r="C332" s="5">
        <v>110</v>
      </c>
      <c r="D332" t="str">
        <f t="shared" si="5"/>
        <v>1212-291726</v>
      </c>
    </row>
    <row r="333" spans="1:4" ht="14.25" customHeight="1">
      <c r="A333" s="4">
        <v>1212</v>
      </c>
      <c r="B333" s="4">
        <v>291728</v>
      </c>
      <c r="C333" s="5">
        <v>112</v>
      </c>
      <c r="D333" t="str">
        <f t="shared" si="5"/>
        <v>1212-291728</v>
      </c>
    </row>
    <row r="334" spans="1:4" ht="14.25" customHeight="1">
      <c r="A334" s="4">
        <v>1212</v>
      </c>
      <c r="B334" s="4">
        <v>571521</v>
      </c>
      <c r="C334" s="5">
        <v>42</v>
      </c>
      <c r="D334" t="str">
        <f t="shared" si="5"/>
        <v>1212-571521</v>
      </c>
    </row>
    <row r="335" spans="1:4" ht="14.25" customHeight="1">
      <c r="A335" s="4">
        <v>1212</v>
      </c>
      <c r="B335" s="4">
        <v>614993</v>
      </c>
      <c r="C335" s="5">
        <v>68</v>
      </c>
      <c r="D335" t="str">
        <f t="shared" si="5"/>
        <v>1212-614993</v>
      </c>
    </row>
    <row r="336" spans="1:4" ht="14.25" customHeight="1">
      <c r="A336" s="4">
        <v>1213</v>
      </c>
      <c r="B336" s="4">
        <v>115600</v>
      </c>
      <c r="C336" s="5">
        <v>90</v>
      </c>
      <c r="D336" t="str">
        <f t="shared" si="5"/>
        <v>1213-115600</v>
      </c>
    </row>
    <row r="337" spans="1:4" ht="14.25" customHeight="1">
      <c r="A337" s="4">
        <v>1213</v>
      </c>
      <c r="B337" s="4">
        <v>129208</v>
      </c>
      <c r="C337" s="5">
        <v>72</v>
      </c>
      <c r="D337" t="str">
        <f t="shared" si="5"/>
        <v>1213-129208</v>
      </c>
    </row>
    <row r="338" spans="1:4" ht="14.25" customHeight="1">
      <c r="A338" s="4">
        <v>1213</v>
      </c>
      <c r="B338" s="4">
        <v>300380</v>
      </c>
      <c r="C338" s="5">
        <v>98</v>
      </c>
      <c r="D338" t="str">
        <f t="shared" si="5"/>
        <v>1213-300380</v>
      </c>
    </row>
    <row r="339" spans="1:4" ht="14.25" customHeight="1">
      <c r="A339" s="4">
        <v>1213</v>
      </c>
      <c r="B339" s="4">
        <v>23393</v>
      </c>
      <c r="C339" s="5">
        <v>56</v>
      </c>
      <c r="D339" t="str">
        <f t="shared" si="5"/>
        <v>1213-23393</v>
      </c>
    </row>
    <row r="340" spans="1:4" ht="14.25" customHeight="1">
      <c r="A340" s="4">
        <v>1213</v>
      </c>
      <c r="B340" s="4">
        <v>26764</v>
      </c>
      <c r="C340" s="5">
        <v>76</v>
      </c>
      <c r="D340" t="str">
        <f t="shared" si="5"/>
        <v>1213-26764</v>
      </c>
    </row>
    <row r="341" spans="1:4" ht="14.25" customHeight="1">
      <c r="A341" s="4">
        <v>1213</v>
      </c>
      <c r="B341" s="4">
        <v>53934</v>
      </c>
      <c r="C341" s="5">
        <v>98</v>
      </c>
      <c r="D341" t="str">
        <f t="shared" si="5"/>
        <v>1213-53934</v>
      </c>
    </row>
    <row r="342" spans="1:4" ht="14.25" customHeight="1">
      <c r="A342" s="4">
        <v>1213</v>
      </c>
      <c r="B342" s="4">
        <v>78699</v>
      </c>
      <c r="C342" s="5">
        <v>106</v>
      </c>
      <c r="D342" t="str">
        <f t="shared" si="5"/>
        <v>1213-78699</v>
      </c>
    </row>
    <row r="343" spans="1:4" ht="14.25" customHeight="1">
      <c r="A343" s="4">
        <v>1213</v>
      </c>
      <c r="B343" s="4">
        <v>78869</v>
      </c>
      <c r="C343" s="5">
        <v>52</v>
      </c>
      <c r="D343" t="str">
        <f t="shared" si="5"/>
        <v>1213-78869</v>
      </c>
    </row>
    <row r="344" spans="1:4" ht="14.25" customHeight="1">
      <c r="A344" s="4">
        <v>1213</v>
      </c>
      <c r="B344" s="4">
        <v>141622</v>
      </c>
      <c r="C344" s="5">
        <v>84</v>
      </c>
      <c r="D344" t="str">
        <f t="shared" si="5"/>
        <v>1213-141622</v>
      </c>
    </row>
    <row r="345" spans="1:4" ht="14.25" customHeight="1">
      <c r="A345" s="4">
        <v>1213</v>
      </c>
      <c r="B345" s="4">
        <v>141626</v>
      </c>
      <c r="C345" s="5">
        <v>50</v>
      </c>
      <c r="D345" t="str">
        <f t="shared" si="5"/>
        <v>1213-141626</v>
      </c>
    </row>
    <row r="346" spans="1:4" ht="14.25" customHeight="1">
      <c r="A346" s="4">
        <v>1213</v>
      </c>
      <c r="B346" s="4">
        <v>141791</v>
      </c>
      <c r="C346" s="5">
        <v>48</v>
      </c>
      <c r="D346" t="str">
        <f t="shared" si="5"/>
        <v>1213-141791</v>
      </c>
    </row>
    <row r="347" spans="1:4" ht="14.25" customHeight="1">
      <c r="A347" s="4">
        <v>1213</v>
      </c>
      <c r="B347" s="4">
        <v>141846</v>
      </c>
      <c r="C347" s="5">
        <v>82</v>
      </c>
      <c r="D347" t="str">
        <f t="shared" si="5"/>
        <v>1213-141846</v>
      </c>
    </row>
    <row r="348" spans="1:4" ht="14.25" customHeight="1">
      <c r="A348" s="4">
        <v>1213</v>
      </c>
      <c r="B348" s="4">
        <v>141967</v>
      </c>
      <c r="C348" s="5">
        <v>48</v>
      </c>
      <c r="D348" t="str">
        <f t="shared" si="5"/>
        <v>1213-141967</v>
      </c>
    </row>
    <row r="349" spans="1:4" ht="14.25" customHeight="1">
      <c r="A349" s="4">
        <v>1213</v>
      </c>
      <c r="B349" s="4">
        <v>142194</v>
      </c>
      <c r="C349" s="5">
        <v>98</v>
      </c>
      <c r="D349" t="str">
        <f t="shared" si="5"/>
        <v>1213-142194</v>
      </c>
    </row>
    <row r="350" spans="1:4" ht="14.25" customHeight="1">
      <c r="A350" s="4">
        <v>1213</v>
      </c>
      <c r="B350" s="4">
        <v>149729</v>
      </c>
      <c r="C350" s="5">
        <v>48</v>
      </c>
      <c r="D350" t="str">
        <f t="shared" si="5"/>
        <v>1213-149729</v>
      </c>
    </row>
    <row r="351" spans="1:4" ht="14.25" customHeight="1">
      <c r="A351" s="4">
        <v>1213</v>
      </c>
      <c r="B351" s="4">
        <v>149779</v>
      </c>
      <c r="C351" s="5">
        <v>108</v>
      </c>
      <c r="D351" t="str">
        <f t="shared" si="5"/>
        <v>1213-149779</v>
      </c>
    </row>
    <row r="352" spans="1:4" ht="14.25" customHeight="1">
      <c r="A352" s="4">
        <v>1213</v>
      </c>
      <c r="B352" s="4">
        <v>189933</v>
      </c>
      <c r="C352" s="5">
        <v>64</v>
      </c>
      <c r="D352" t="str">
        <f t="shared" si="5"/>
        <v>1213-189933</v>
      </c>
    </row>
    <row r="353" spans="1:4" ht="14.25" customHeight="1">
      <c r="A353" s="4">
        <v>1213</v>
      </c>
      <c r="B353" s="4">
        <v>202577</v>
      </c>
      <c r="C353" s="5">
        <v>116</v>
      </c>
      <c r="D353" t="str">
        <f t="shared" si="5"/>
        <v>1213-202577</v>
      </c>
    </row>
    <row r="354" spans="1:4" ht="14.25" customHeight="1">
      <c r="A354" s="4">
        <v>1213</v>
      </c>
      <c r="B354" s="4">
        <v>234334</v>
      </c>
      <c r="C354" s="5">
        <v>90</v>
      </c>
      <c r="D354" t="str">
        <f t="shared" si="5"/>
        <v>1213-234334</v>
      </c>
    </row>
    <row r="355" spans="1:4" ht="14.25" customHeight="1">
      <c r="A355" s="4">
        <v>1213</v>
      </c>
      <c r="B355" s="4">
        <v>249444</v>
      </c>
      <c r="C355" s="5">
        <v>88</v>
      </c>
      <c r="D355" t="str">
        <f t="shared" si="5"/>
        <v>1213-249444</v>
      </c>
    </row>
    <row r="356" spans="1:4" ht="14.25" customHeight="1">
      <c r="A356" s="4">
        <v>1213</v>
      </c>
      <c r="B356" s="4">
        <v>249795</v>
      </c>
      <c r="C356" s="5">
        <v>54</v>
      </c>
      <c r="D356" t="str">
        <f t="shared" si="5"/>
        <v>1213-249795</v>
      </c>
    </row>
    <row r="357" spans="1:4" ht="14.25" customHeight="1">
      <c r="A357" s="4">
        <v>1213</v>
      </c>
      <c r="B357" s="4">
        <v>250979</v>
      </c>
      <c r="C357" s="5">
        <v>112</v>
      </c>
      <c r="D357" t="str">
        <f t="shared" si="5"/>
        <v>1213-250979</v>
      </c>
    </row>
    <row r="358" spans="1:4" ht="14.25" customHeight="1">
      <c r="A358" s="4">
        <v>1213</v>
      </c>
      <c r="B358" s="4">
        <v>250981</v>
      </c>
      <c r="C358" s="5">
        <v>70</v>
      </c>
      <c r="D358" t="str">
        <f t="shared" si="5"/>
        <v>1213-250981</v>
      </c>
    </row>
    <row r="359" spans="1:4" ht="14.25" customHeight="1">
      <c r="A359" s="4">
        <v>1213</v>
      </c>
      <c r="B359" s="4">
        <v>262294</v>
      </c>
      <c r="C359" s="5">
        <v>70</v>
      </c>
      <c r="D359" t="str">
        <f t="shared" si="5"/>
        <v>1213-262294</v>
      </c>
    </row>
    <row r="360" spans="1:4" ht="14.25" customHeight="1">
      <c r="A360" s="4">
        <v>1213</v>
      </c>
      <c r="B360" s="4">
        <v>268831</v>
      </c>
      <c r="C360" s="5">
        <v>60</v>
      </c>
      <c r="D360" t="str">
        <f t="shared" si="5"/>
        <v>1213-268831</v>
      </c>
    </row>
    <row r="361" spans="1:4" ht="14.25" customHeight="1">
      <c r="A361" s="4">
        <v>1213</v>
      </c>
      <c r="B361" s="4">
        <v>273701</v>
      </c>
      <c r="C361" s="5">
        <v>44</v>
      </c>
      <c r="D361" t="str">
        <f t="shared" si="5"/>
        <v>1213-273701</v>
      </c>
    </row>
    <row r="362" spans="1:4" ht="14.25" customHeight="1">
      <c r="A362" s="4">
        <v>1213</v>
      </c>
      <c r="B362" s="4">
        <v>291726</v>
      </c>
      <c r="C362" s="5">
        <v>120</v>
      </c>
      <c r="D362" t="str">
        <f t="shared" si="5"/>
        <v>1213-291726</v>
      </c>
    </row>
    <row r="363" spans="1:4" ht="14.25" customHeight="1">
      <c r="A363" s="4">
        <v>1213</v>
      </c>
      <c r="B363" s="4">
        <v>291728</v>
      </c>
      <c r="C363" s="5">
        <v>114</v>
      </c>
      <c r="D363" t="str">
        <f t="shared" si="5"/>
        <v>1213-291728</v>
      </c>
    </row>
    <row r="364" spans="1:4" ht="14.25" customHeight="1">
      <c r="A364" s="4">
        <v>1213</v>
      </c>
      <c r="B364" s="4">
        <v>571521</v>
      </c>
      <c r="C364" s="5">
        <v>92</v>
      </c>
      <c r="D364" t="str">
        <f t="shared" si="5"/>
        <v>1213-571521</v>
      </c>
    </row>
    <row r="365" spans="1:4" ht="14.25" customHeight="1">
      <c r="A365" s="4">
        <v>1213</v>
      </c>
      <c r="B365" s="4">
        <v>614993</v>
      </c>
      <c r="C365" s="5">
        <v>106</v>
      </c>
      <c r="D365" t="str">
        <f t="shared" si="5"/>
        <v>1213-614993</v>
      </c>
    </row>
    <row r="366" spans="1:4" ht="14.25" customHeight="1">
      <c r="A366" s="4">
        <v>1214</v>
      </c>
      <c r="B366" s="4">
        <v>115600</v>
      </c>
      <c r="C366" s="5">
        <v>56</v>
      </c>
      <c r="D366" t="str">
        <f t="shared" si="5"/>
        <v>1214-115600</v>
      </c>
    </row>
    <row r="367" spans="1:4" ht="14.25" customHeight="1">
      <c r="A367" s="4">
        <v>1214</v>
      </c>
      <c r="B367" s="4">
        <v>129208</v>
      </c>
      <c r="C367" s="5">
        <v>40</v>
      </c>
      <c r="D367" t="str">
        <f t="shared" si="5"/>
        <v>1214-129208</v>
      </c>
    </row>
    <row r="368" spans="1:4" ht="14.25" customHeight="1">
      <c r="A368" s="4">
        <v>1214</v>
      </c>
      <c r="B368" s="4">
        <v>300380</v>
      </c>
      <c r="C368" s="5">
        <v>66</v>
      </c>
      <c r="D368" t="str">
        <f t="shared" si="5"/>
        <v>1214-300380</v>
      </c>
    </row>
    <row r="369" spans="1:4" ht="14.25" customHeight="1">
      <c r="A369" s="4">
        <v>1214</v>
      </c>
      <c r="B369" s="4">
        <v>23393</v>
      </c>
      <c r="C369" s="5">
        <v>112</v>
      </c>
      <c r="D369" t="str">
        <f t="shared" si="5"/>
        <v>1214-23393</v>
      </c>
    </row>
    <row r="370" spans="1:4" ht="14.25" customHeight="1">
      <c r="A370" s="4">
        <v>1214</v>
      </c>
      <c r="B370" s="4">
        <v>26764</v>
      </c>
      <c r="C370" s="5">
        <v>82</v>
      </c>
      <c r="D370" t="str">
        <f t="shared" si="5"/>
        <v>1214-26764</v>
      </c>
    </row>
    <row r="371" spans="1:4" ht="14.25" customHeight="1">
      <c r="A371" s="4">
        <v>1214</v>
      </c>
      <c r="B371" s="4">
        <v>53934</v>
      </c>
      <c r="C371" s="5">
        <v>104</v>
      </c>
      <c r="D371" t="str">
        <f t="shared" si="5"/>
        <v>1214-53934</v>
      </c>
    </row>
    <row r="372" spans="1:4" ht="14.25" customHeight="1">
      <c r="A372" s="4">
        <v>1214</v>
      </c>
      <c r="B372" s="4">
        <v>78699</v>
      </c>
      <c r="C372" s="5">
        <v>84</v>
      </c>
      <c r="D372" t="str">
        <f t="shared" si="5"/>
        <v>1214-78699</v>
      </c>
    </row>
    <row r="373" spans="1:4" ht="14.25" customHeight="1">
      <c r="A373" s="4">
        <v>1214</v>
      </c>
      <c r="B373" s="4">
        <v>78869</v>
      </c>
      <c r="C373" s="5">
        <v>76</v>
      </c>
      <c r="D373" t="str">
        <f t="shared" si="5"/>
        <v>1214-78869</v>
      </c>
    </row>
    <row r="374" spans="1:4" ht="14.25" customHeight="1">
      <c r="A374" s="4">
        <v>1214</v>
      </c>
      <c r="B374" s="4">
        <v>141622</v>
      </c>
      <c r="C374" s="5">
        <v>112</v>
      </c>
      <c r="D374" t="str">
        <f t="shared" si="5"/>
        <v>1214-141622</v>
      </c>
    </row>
    <row r="375" spans="1:4" ht="14.25" customHeight="1">
      <c r="A375" s="4">
        <v>1214</v>
      </c>
      <c r="B375" s="4">
        <v>141626</v>
      </c>
      <c r="C375" s="5">
        <v>98</v>
      </c>
      <c r="D375" t="str">
        <f t="shared" si="5"/>
        <v>1214-141626</v>
      </c>
    </row>
    <row r="376" spans="1:4" ht="14.25" customHeight="1">
      <c r="A376" s="4">
        <v>1214</v>
      </c>
      <c r="B376" s="4">
        <v>141791</v>
      </c>
      <c r="C376" s="5">
        <v>84</v>
      </c>
      <c r="D376" t="str">
        <f t="shared" si="5"/>
        <v>1214-141791</v>
      </c>
    </row>
    <row r="377" spans="1:4" ht="14.25" customHeight="1">
      <c r="A377" s="4">
        <v>1214</v>
      </c>
      <c r="B377" s="4">
        <v>141846</v>
      </c>
      <c r="C377" s="5">
        <v>120</v>
      </c>
      <c r="D377" t="str">
        <f t="shared" si="5"/>
        <v>1214-141846</v>
      </c>
    </row>
    <row r="378" spans="1:4" ht="14.25" customHeight="1">
      <c r="A378" s="4">
        <v>1214</v>
      </c>
      <c r="B378" s="4">
        <v>141967</v>
      </c>
      <c r="C378" s="5">
        <v>56</v>
      </c>
      <c r="D378" t="str">
        <f t="shared" si="5"/>
        <v>1214-141967</v>
      </c>
    </row>
    <row r="379" spans="1:4" ht="14.25" customHeight="1">
      <c r="A379" s="4">
        <v>1214</v>
      </c>
      <c r="B379" s="4">
        <v>142194</v>
      </c>
      <c r="C379" s="5">
        <v>62</v>
      </c>
      <c r="D379" t="str">
        <f t="shared" si="5"/>
        <v>1214-142194</v>
      </c>
    </row>
    <row r="380" spans="1:4" ht="14.25" customHeight="1">
      <c r="A380" s="4">
        <v>1214</v>
      </c>
      <c r="B380" s="4">
        <v>149729</v>
      </c>
      <c r="C380" s="5">
        <v>100</v>
      </c>
      <c r="D380" t="str">
        <f t="shared" si="5"/>
        <v>1214-149729</v>
      </c>
    </row>
    <row r="381" spans="1:4" ht="14.25" customHeight="1">
      <c r="A381" s="4">
        <v>1214</v>
      </c>
      <c r="B381" s="4">
        <v>149779</v>
      </c>
      <c r="C381" s="5">
        <v>90</v>
      </c>
      <c r="D381" t="str">
        <f t="shared" si="5"/>
        <v>1214-149779</v>
      </c>
    </row>
    <row r="382" spans="1:4" ht="14.25" customHeight="1">
      <c r="A382" s="4">
        <v>1214</v>
      </c>
      <c r="B382" s="4">
        <v>189933</v>
      </c>
      <c r="C382" s="5">
        <v>120</v>
      </c>
      <c r="D382" t="str">
        <f t="shared" si="5"/>
        <v>1214-189933</v>
      </c>
    </row>
    <row r="383" spans="1:4" ht="14.25" customHeight="1">
      <c r="A383" s="4">
        <v>1214</v>
      </c>
      <c r="B383" s="4">
        <v>202577</v>
      </c>
      <c r="C383" s="5">
        <v>80</v>
      </c>
      <c r="D383" t="str">
        <f t="shared" si="5"/>
        <v>1214-202577</v>
      </c>
    </row>
    <row r="384" spans="1:4" ht="14.25" customHeight="1">
      <c r="A384" s="4">
        <v>1214</v>
      </c>
      <c r="B384" s="4">
        <v>234334</v>
      </c>
      <c r="C384" s="5">
        <v>86</v>
      </c>
      <c r="D384" t="str">
        <f t="shared" si="5"/>
        <v>1214-234334</v>
      </c>
    </row>
    <row r="385" spans="1:4" ht="14.25" customHeight="1">
      <c r="A385" s="4">
        <v>1214</v>
      </c>
      <c r="B385" s="4">
        <v>249444</v>
      </c>
      <c r="C385" s="5">
        <v>80</v>
      </c>
      <c r="D385" t="str">
        <f t="shared" si="5"/>
        <v>1214-249444</v>
      </c>
    </row>
    <row r="386" spans="1:4" ht="14.25" customHeight="1">
      <c r="A386" s="4">
        <v>1214</v>
      </c>
      <c r="B386" s="4">
        <v>249795</v>
      </c>
      <c r="C386" s="5">
        <v>68</v>
      </c>
      <c r="D386" t="str">
        <f t="shared" si="5"/>
        <v>1214-249795</v>
      </c>
    </row>
    <row r="387" spans="1:4" ht="14.25" customHeight="1">
      <c r="A387" s="4">
        <v>1214</v>
      </c>
      <c r="B387" s="4">
        <v>250979</v>
      </c>
      <c r="C387" s="5">
        <v>56</v>
      </c>
      <c r="D387" t="str">
        <f t="shared" ref="D387:D450" si="6">A387&amp;"-"&amp;B387</f>
        <v>1214-250979</v>
      </c>
    </row>
    <row r="388" spans="1:4" ht="14.25" customHeight="1">
      <c r="A388" s="4">
        <v>1214</v>
      </c>
      <c r="B388" s="4">
        <v>250981</v>
      </c>
      <c r="C388" s="5">
        <v>108</v>
      </c>
      <c r="D388" t="str">
        <f t="shared" si="6"/>
        <v>1214-250981</v>
      </c>
    </row>
    <row r="389" spans="1:4" ht="14.25" customHeight="1">
      <c r="A389" s="4">
        <v>1214</v>
      </c>
      <c r="B389" s="4">
        <v>262294</v>
      </c>
      <c r="C389" s="5">
        <v>104</v>
      </c>
      <c r="D389" t="str">
        <f t="shared" si="6"/>
        <v>1214-262294</v>
      </c>
    </row>
    <row r="390" spans="1:4" ht="14.25" customHeight="1">
      <c r="A390" s="4">
        <v>1214</v>
      </c>
      <c r="B390" s="4">
        <v>268831</v>
      </c>
      <c r="C390" s="5">
        <v>64</v>
      </c>
      <c r="D390" t="str">
        <f t="shared" si="6"/>
        <v>1214-268831</v>
      </c>
    </row>
    <row r="391" spans="1:4" ht="14.25" customHeight="1">
      <c r="A391" s="4">
        <v>1214</v>
      </c>
      <c r="B391" s="4">
        <v>273701</v>
      </c>
      <c r="C391" s="5">
        <v>58</v>
      </c>
      <c r="D391" t="str">
        <f t="shared" si="6"/>
        <v>1214-273701</v>
      </c>
    </row>
    <row r="392" spans="1:4" ht="14.25" customHeight="1">
      <c r="A392" s="4">
        <v>1214</v>
      </c>
      <c r="B392" s="4">
        <v>291726</v>
      </c>
      <c r="C392" s="5">
        <v>88</v>
      </c>
      <c r="D392" t="str">
        <f t="shared" si="6"/>
        <v>1214-291726</v>
      </c>
    </row>
    <row r="393" spans="1:4" ht="14.25" customHeight="1">
      <c r="A393" s="4">
        <v>1214</v>
      </c>
      <c r="B393" s="4">
        <v>291728</v>
      </c>
      <c r="C393" s="5">
        <v>86</v>
      </c>
      <c r="D393" t="str">
        <f t="shared" si="6"/>
        <v>1214-291728</v>
      </c>
    </row>
    <row r="394" spans="1:4" ht="14.25" customHeight="1">
      <c r="A394" s="4">
        <v>1214</v>
      </c>
      <c r="B394" s="4">
        <v>571521</v>
      </c>
      <c r="C394" s="5">
        <v>78</v>
      </c>
      <c r="D394" t="str">
        <f t="shared" si="6"/>
        <v>1214-571521</v>
      </c>
    </row>
    <row r="395" spans="1:4" ht="14.25" customHeight="1">
      <c r="A395" s="4">
        <v>1214</v>
      </c>
      <c r="B395" s="4">
        <v>614993</v>
      </c>
      <c r="C395" s="5">
        <v>110</v>
      </c>
      <c r="D395" t="str">
        <f t="shared" si="6"/>
        <v>1214-614993</v>
      </c>
    </row>
    <row r="396" spans="1:4" ht="14.25" customHeight="1">
      <c r="A396" s="4">
        <v>1216</v>
      </c>
      <c r="B396" s="4">
        <v>115600</v>
      </c>
      <c r="C396" s="5">
        <v>80</v>
      </c>
      <c r="D396" t="str">
        <f t="shared" si="6"/>
        <v>1216-115600</v>
      </c>
    </row>
    <row r="397" spans="1:4" ht="14.25" customHeight="1">
      <c r="A397" s="4">
        <v>1216</v>
      </c>
      <c r="B397" s="4">
        <v>129208</v>
      </c>
      <c r="C397" s="5">
        <v>74</v>
      </c>
      <c r="D397" t="str">
        <f t="shared" si="6"/>
        <v>1216-129208</v>
      </c>
    </row>
    <row r="398" spans="1:4" ht="14.25" customHeight="1">
      <c r="A398" s="4">
        <v>1216</v>
      </c>
      <c r="B398" s="4">
        <v>300380</v>
      </c>
      <c r="C398" s="5">
        <v>102</v>
      </c>
      <c r="D398" t="str">
        <f t="shared" si="6"/>
        <v>1216-300380</v>
      </c>
    </row>
    <row r="399" spans="1:4" ht="14.25" customHeight="1">
      <c r="A399" s="4">
        <v>1216</v>
      </c>
      <c r="B399" s="4">
        <v>23393</v>
      </c>
      <c r="C399" s="5">
        <v>50</v>
      </c>
      <c r="D399" t="str">
        <f t="shared" si="6"/>
        <v>1216-23393</v>
      </c>
    </row>
    <row r="400" spans="1:4" ht="14.25" customHeight="1">
      <c r="A400" s="4">
        <v>1216</v>
      </c>
      <c r="B400" s="4">
        <v>26764</v>
      </c>
      <c r="C400" s="5">
        <v>66</v>
      </c>
      <c r="D400" t="str">
        <f t="shared" si="6"/>
        <v>1216-26764</v>
      </c>
    </row>
    <row r="401" spans="1:4" ht="14.25" customHeight="1">
      <c r="A401" s="4">
        <v>1216</v>
      </c>
      <c r="B401" s="4">
        <v>53934</v>
      </c>
      <c r="C401" s="5">
        <v>98</v>
      </c>
      <c r="D401" t="str">
        <f t="shared" si="6"/>
        <v>1216-53934</v>
      </c>
    </row>
    <row r="402" spans="1:4" ht="14.25" customHeight="1">
      <c r="A402" s="4">
        <v>1216</v>
      </c>
      <c r="B402" s="4">
        <v>78699</v>
      </c>
      <c r="C402" s="5">
        <v>114</v>
      </c>
      <c r="D402" t="str">
        <f t="shared" si="6"/>
        <v>1216-78699</v>
      </c>
    </row>
    <row r="403" spans="1:4" ht="14.25" customHeight="1">
      <c r="A403" s="4">
        <v>1216</v>
      </c>
      <c r="B403" s="4">
        <v>78869</v>
      </c>
      <c r="C403" s="5">
        <v>104</v>
      </c>
      <c r="D403" t="str">
        <f t="shared" si="6"/>
        <v>1216-78869</v>
      </c>
    </row>
    <row r="404" spans="1:4" ht="14.25" customHeight="1">
      <c r="A404" s="4">
        <v>1216</v>
      </c>
      <c r="B404" s="4">
        <v>141622</v>
      </c>
      <c r="C404" s="5">
        <v>44</v>
      </c>
      <c r="D404" t="str">
        <f t="shared" si="6"/>
        <v>1216-141622</v>
      </c>
    </row>
    <row r="405" spans="1:4" ht="14.25" customHeight="1">
      <c r="A405" s="4">
        <v>1216</v>
      </c>
      <c r="B405" s="4">
        <v>141626</v>
      </c>
      <c r="C405" s="5">
        <v>94</v>
      </c>
      <c r="D405" t="str">
        <f t="shared" si="6"/>
        <v>1216-141626</v>
      </c>
    </row>
    <row r="406" spans="1:4" ht="14.25" customHeight="1">
      <c r="A406" s="4">
        <v>1216</v>
      </c>
      <c r="B406" s="4">
        <v>141791</v>
      </c>
      <c r="C406" s="5">
        <v>114</v>
      </c>
      <c r="D406" t="str">
        <f t="shared" si="6"/>
        <v>1216-141791</v>
      </c>
    </row>
    <row r="407" spans="1:4" ht="14.25" customHeight="1">
      <c r="A407" s="4">
        <v>1216</v>
      </c>
      <c r="B407" s="4">
        <v>141846</v>
      </c>
      <c r="C407" s="5">
        <v>96</v>
      </c>
      <c r="D407" t="str">
        <f t="shared" si="6"/>
        <v>1216-141846</v>
      </c>
    </row>
    <row r="408" spans="1:4" ht="14.25" customHeight="1">
      <c r="A408" s="4">
        <v>1216</v>
      </c>
      <c r="B408" s="4">
        <v>141967</v>
      </c>
      <c r="C408" s="5">
        <v>44</v>
      </c>
      <c r="D408" t="str">
        <f t="shared" si="6"/>
        <v>1216-141967</v>
      </c>
    </row>
    <row r="409" spans="1:4" ht="14.25" customHeight="1">
      <c r="A409" s="4">
        <v>1216</v>
      </c>
      <c r="B409" s="4">
        <v>142194</v>
      </c>
      <c r="C409" s="5">
        <v>108</v>
      </c>
      <c r="D409" t="str">
        <f t="shared" si="6"/>
        <v>1216-142194</v>
      </c>
    </row>
    <row r="410" spans="1:4" ht="14.25" customHeight="1">
      <c r="A410" s="4">
        <v>1216</v>
      </c>
      <c r="B410" s="4">
        <v>149729</v>
      </c>
      <c r="C410" s="5">
        <v>76</v>
      </c>
      <c r="D410" t="str">
        <f t="shared" si="6"/>
        <v>1216-149729</v>
      </c>
    </row>
    <row r="411" spans="1:4" ht="14.25" customHeight="1">
      <c r="A411" s="4">
        <v>1216</v>
      </c>
      <c r="B411" s="4">
        <v>149779</v>
      </c>
      <c r="C411" s="5">
        <v>106</v>
      </c>
      <c r="D411" t="str">
        <f t="shared" si="6"/>
        <v>1216-149779</v>
      </c>
    </row>
    <row r="412" spans="1:4" ht="14.25" customHeight="1">
      <c r="A412" s="4">
        <v>1216</v>
      </c>
      <c r="B412" s="4">
        <v>189933</v>
      </c>
      <c r="C412" s="5">
        <v>96</v>
      </c>
      <c r="D412" t="str">
        <f t="shared" si="6"/>
        <v>1216-189933</v>
      </c>
    </row>
    <row r="413" spans="1:4" ht="14.25" customHeight="1">
      <c r="A413" s="4">
        <v>1216</v>
      </c>
      <c r="B413" s="4">
        <v>202577</v>
      </c>
      <c r="C413" s="5">
        <v>118</v>
      </c>
      <c r="D413" t="str">
        <f t="shared" si="6"/>
        <v>1216-202577</v>
      </c>
    </row>
    <row r="414" spans="1:4" ht="14.25" customHeight="1">
      <c r="A414" s="4">
        <v>1216</v>
      </c>
      <c r="B414" s="4">
        <v>234334</v>
      </c>
      <c r="C414" s="5">
        <v>46</v>
      </c>
      <c r="D414" t="str">
        <f t="shared" si="6"/>
        <v>1216-234334</v>
      </c>
    </row>
    <row r="415" spans="1:4" ht="14.25" customHeight="1">
      <c r="A415" s="4">
        <v>1216</v>
      </c>
      <c r="B415" s="4">
        <v>249444</v>
      </c>
      <c r="C415" s="5">
        <v>114</v>
      </c>
      <c r="D415" t="str">
        <f t="shared" si="6"/>
        <v>1216-249444</v>
      </c>
    </row>
    <row r="416" spans="1:4" ht="14.25" customHeight="1">
      <c r="A416" s="4">
        <v>1216</v>
      </c>
      <c r="B416" s="4">
        <v>249795</v>
      </c>
      <c r="C416" s="5">
        <v>78</v>
      </c>
      <c r="D416" t="str">
        <f t="shared" si="6"/>
        <v>1216-249795</v>
      </c>
    </row>
    <row r="417" spans="1:4" ht="14.25" customHeight="1">
      <c r="A417" s="4">
        <v>1216</v>
      </c>
      <c r="B417" s="4">
        <v>250979</v>
      </c>
      <c r="C417" s="5">
        <v>106</v>
      </c>
      <c r="D417" t="str">
        <f t="shared" si="6"/>
        <v>1216-250979</v>
      </c>
    </row>
    <row r="418" spans="1:4" ht="14.25" customHeight="1">
      <c r="A418" s="4">
        <v>1216</v>
      </c>
      <c r="B418" s="4">
        <v>250981</v>
      </c>
      <c r="C418" s="5">
        <v>66</v>
      </c>
      <c r="D418" t="str">
        <f t="shared" si="6"/>
        <v>1216-250981</v>
      </c>
    </row>
    <row r="419" spans="1:4" ht="14.25" customHeight="1">
      <c r="A419" s="4">
        <v>1216</v>
      </c>
      <c r="B419" s="4">
        <v>262294</v>
      </c>
      <c r="C419" s="5">
        <v>82</v>
      </c>
      <c r="D419" t="str">
        <f t="shared" si="6"/>
        <v>1216-262294</v>
      </c>
    </row>
    <row r="420" spans="1:4" ht="14.25" customHeight="1">
      <c r="A420" s="4">
        <v>1216</v>
      </c>
      <c r="B420" s="4">
        <v>268831</v>
      </c>
      <c r="C420" s="5">
        <v>50</v>
      </c>
      <c r="D420" t="str">
        <f t="shared" si="6"/>
        <v>1216-268831</v>
      </c>
    </row>
    <row r="421" spans="1:4" ht="14.25" customHeight="1">
      <c r="A421" s="4">
        <v>1216</v>
      </c>
      <c r="B421" s="4">
        <v>273701</v>
      </c>
      <c r="C421" s="5">
        <v>66</v>
      </c>
      <c r="D421" t="str">
        <f t="shared" si="6"/>
        <v>1216-273701</v>
      </c>
    </row>
    <row r="422" spans="1:4" ht="14.25" customHeight="1">
      <c r="A422" s="4">
        <v>1216</v>
      </c>
      <c r="B422" s="4">
        <v>291726</v>
      </c>
      <c r="C422" s="5">
        <v>48</v>
      </c>
      <c r="D422" t="str">
        <f t="shared" si="6"/>
        <v>1216-291726</v>
      </c>
    </row>
    <row r="423" spans="1:4" ht="14.25" customHeight="1">
      <c r="A423" s="4">
        <v>1216</v>
      </c>
      <c r="B423" s="4">
        <v>291728</v>
      </c>
      <c r="C423" s="5">
        <v>108</v>
      </c>
      <c r="D423" t="str">
        <f t="shared" si="6"/>
        <v>1216-291728</v>
      </c>
    </row>
    <row r="424" spans="1:4" ht="14.25" customHeight="1">
      <c r="A424" s="4">
        <v>1216</v>
      </c>
      <c r="B424" s="4">
        <v>614993</v>
      </c>
      <c r="C424" s="5">
        <v>68</v>
      </c>
      <c r="D424" t="str">
        <f t="shared" si="6"/>
        <v>1216-614993</v>
      </c>
    </row>
    <row r="425" spans="1:4" ht="14.25" customHeight="1">
      <c r="A425" s="4">
        <v>1218</v>
      </c>
      <c r="B425" s="4">
        <v>115600</v>
      </c>
      <c r="C425" s="5">
        <v>106</v>
      </c>
      <c r="D425" t="str">
        <f t="shared" si="6"/>
        <v>1218-115600</v>
      </c>
    </row>
    <row r="426" spans="1:4" ht="14.25" customHeight="1">
      <c r="A426" s="4">
        <v>1218</v>
      </c>
      <c r="B426" s="4">
        <v>129208</v>
      </c>
      <c r="C426" s="5">
        <v>60</v>
      </c>
      <c r="D426" t="str">
        <f t="shared" si="6"/>
        <v>1218-129208</v>
      </c>
    </row>
    <row r="427" spans="1:4" ht="14.25" customHeight="1">
      <c r="A427" s="4">
        <v>1218</v>
      </c>
      <c r="B427" s="4">
        <v>300380</v>
      </c>
      <c r="C427" s="5">
        <v>88</v>
      </c>
      <c r="D427" t="str">
        <f t="shared" si="6"/>
        <v>1218-300380</v>
      </c>
    </row>
    <row r="428" spans="1:4" ht="14.25" customHeight="1">
      <c r="A428" s="4">
        <v>1218</v>
      </c>
      <c r="B428" s="4">
        <v>23393</v>
      </c>
      <c r="C428" s="5">
        <v>72</v>
      </c>
      <c r="D428" t="str">
        <f t="shared" si="6"/>
        <v>1218-23393</v>
      </c>
    </row>
    <row r="429" spans="1:4" ht="14.25" customHeight="1">
      <c r="A429" s="4">
        <v>1218</v>
      </c>
      <c r="B429" s="4">
        <v>26764</v>
      </c>
      <c r="C429" s="5">
        <v>94</v>
      </c>
      <c r="D429" t="str">
        <f t="shared" si="6"/>
        <v>1218-26764</v>
      </c>
    </row>
    <row r="430" spans="1:4" ht="14.25" customHeight="1">
      <c r="A430" s="4">
        <v>1218</v>
      </c>
      <c r="B430" s="4">
        <v>53934</v>
      </c>
      <c r="C430" s="5">
        <v>74</v>
      </c>
      <c r="D430" t="str">
        <f t="shared" si="6"/>
        <v>1218-53934</v>
      </c>
    </row>
    <row r="431" spans="1:4" ht="14.25" customHeight="1">
      <c r="A431" s="4">
        <v>1218</v>
      </c>
      <c r="B431" s="4">
        <v>78699</v>
      </c>
      <c r="C431" s="5">
        <v>82</v>
      </c>
      <c r="D431" t="str">
        <f t="shared" si="6"/>
        <v>1218-78699</v>
      </c>
    </row>
    <row r="432" spans="1:4" ht="14.25" customHeight="1">
      <c r="A432" s="4">
        <v>1218</v>
      </c>
      <c r="B432" s="4">
        <v>78869</v>
      </c>
      <c r="C432" s="5">
        <v>54</v>
      </c>
      <c r="D432" t="str">
        <f t="shared" si="6"/>
        <v>1218-78869</v>
      </c>
    </row>
    <row r="433" spans="1:4" ht="14.25" customHeight="1">
      <c r="A433" s="4">
        <v>1218</v>
      </c>
      <c r="B433" s="4">
        <v>141622</v>
      </c>
      <c r="C433" s="5">
        <v>88</v>
      </c>
      <c r="D433" t="str">
        <f t="shared" si="6"/>
        <v>1218-141622</v>
      </c>
    </row>
    <row r="434" spans="1:4" ht="14.25" customHeight="1">
      <c r="A434" s="4">
        <v>1218</v>
      </c>
      <c r="B434" s="4">
        <v>141626</v>
      </c>
      <c r="C434" s="5">
        <v>64</v>
      </c>
      <c r="D434" t="str">
        <f t="shared" si="6"/>
        <v>1218-141626</v>
      </c>
    </row>
    <row r="435" spans="1:4" ht="14.25" customHeight="1">
      <c r="A435" s="4">
        <v>1218</v>
      </c>
      <c r="B435" s="4">
        <v>141791</v>
      </c>
      <c r="C435" s="5">
        <v>88</v>
      </c>
      <c r="D435" t="str">
        <f t="shared" si="6"/>
        <v>1218-141791</v>
      </c>
    </row>
    <row r="436" spans="1:4" ht="14.25" customHeight="1">
      <c r="A436" s="4">
        <v>1218</v>
      </c>
      <c r="B436" s="4">
        <v>141846</v>
      </c>
      <c r="C436" s="5">
        <v>70</v>
      </c>
      <c r="D436" t="str">
        <f t="shared" si="6"/>
        <v>1218-141846</v>
      </c>
    </row>
    <row r="437" spans="1:4" ht="14.25" customHeight="1">
      <c r="A437" s="4">
        <v>1218</v>
      </c>
      <c r="B437" s="4">
        <v>141967</v>
      </c>
      <c r="C437" s="5">
        <v>98</v>
      </c>
      <c r="D437" t="str">
        <f t="shared" si="6"/>
        <v>1218-141967</v>
      </c>
    </row>
    <row r="438" spans="1:4" ht="14.25" customHeight="1">
      <c r="A438" s="4">
        <v>1218</v>
      </c>
      <c r="B438" s="4">
        <v>142194</v>
      </c>
      <c r="C438" s="5">
        <v>90</v>
      </c>
      <c r="D438" t="str">
        <f t="shared" si="6"/>
        <v>1218-142194</v>
      </c>
    </row>
    <row r="439" spans="1:4" ht="14.25" customHeight="1">
      <c r="A439" s="4">
        <v>1218</v>
      </c>
      <c r="B439" s="4">
        <v>149729</v>
      </c>
      <c r="C439" s="5">
        <v>56</v>
      </c>
      <c r="D439" t="str">
        <f t="shared" si="6"/>
        <v>1218-149729</v>
      </c>
    </row>
    <row r="440" spans="1:4" ht="14.25" customHeight="1">
      <c r="A440" s="4">
        <v>1218</v>
      </c>
      <c r="B440" s="4">
        <v>149779</v>
      </c>
      <c r="C440" s="5">
        <v>90</v>
      </c>
      <c r="D440" t="str">
        <f t="shared" si="6"/>
        <v>1218-149779</v>
      </c>
    </row>
    <row r="441" spans="1:4" ht="14.25" customHeight="1">
      <c r="A441" s="4">
        <v>1218</v>
      </c>
      <c r="B441" s="4">
        <v>189933</v>
      </c>
      <c r="C441" s="5">
        <v>42</v>
      </c>
      <c r="D441" t="str">
        <f t="shared" si="6"/>
        <v>1218-189933</v>
      </c>
    </row>
    <row r="442" spans="1:4" ht="14.25" customHeight="1">
      <c r="A442" s="4">
        <v>1218</v>
      </c>
      <c r="B442" s="4">
        <v>202577</v>
      </c>
      <c r="C442" s="5">
        <v>116</v>
      </c>
      <c r="D442" t="str">
        <f t="shared" si="6"/>
        <v>1218-202577</v>
      </c>
    </row>
    <row r="443" spans="1:4" ht="14.25" customHeight="1">
      <c r="A443" s="4">
        <v>1218</v>
      </c>
      <c r="B443" s="4">
        <v>234334</v>
      </c>
      <c r="C443" s="5">
        <v>62</v>
      </c>
      <c r="D443" t="str">
        <f t="shared" si="6"/>
        <v>1218-234334</v>
      </c>
    </row>
    <row r="444" spans="1:4" ht="14.25" customHeight="1">
      <c r="A444" s="4">
        <v>1218</v>
      </c>
      <c r="B444" s="4">
        <v>249444</v>
      </c>
      <c r="C444" s="5">
        <v>86</v>
      </c>
      <c r="D444" t="str">
        <f t="shared" si="6"/>
        <v>1218-249444</v>
      </c>
    </row>
    <row r="445" spans="1:4" ht="14.25" customHeight="1">
      <c r="A445" s="4">
        <v>1218</v>
      </c>
      <c r="B445" s="4">
        <v>249795</v>
      </c>
      <c r="C445" s="5">
        <v>106</v>
      </c>
      <c r="D445" t="str">
        <f t="shared" si="6"/>
        <v>1218-249795</v>
      </c>
    </row>
    <row r="446" spans="1:4" ht="14.25" customHeight="1">
      <c r="A446" s="4">
        <v>1218</v>
      </c>
      <c r="B446" s="4">
        <v>250979</v>
      </c>
      <c r="C446" s="5">
        <v>58</v>
      </c>
      <c r="D446" t="str">
        <f t="shared" si="6"/>
        <v>1218-250979</v>
      </c>
    </row>
    <row r="447" spans="1:4" ht="14.25" customHeight="1">
      <c r="A447" s="4">
        <v>1218</v>
      </c>
      <c r="B447" s="4">
        <v>250981</v>
      </c>
      <c r="C447" s="5">
        <v>72</v>
      </c>
      <c r="D447" t="str">
        <f t="shared" si="6"/>
        <v>1218-250981</v>
      </c>
    </row>
    <row r="448" spans="1:4" ht="14.25" customHeight="1">
      <c r="A448" s="4">
        <v>1218</v>
      </c>
      <c r="B448" s="4">
        <v>262294</v>
      </c>
      <c r="C448" s="5">
        <v>106</v>
      </c>
      <c r="D448" t="str">
        <f t="shared" si="6"/>
        <v>1218-262294</v>
      </c>
    </row>
    <row r="449" spans="1:4" ht="14.25" customHeight="1">
      <c r="A449" s="4">
        <v>1218</v>
      </c>
      <c r="B449" s="4">
        <v>268831</v>
      </c>
      <c r="C449" s="5">
        <v>76</v>
      </c>
      <c r="D449" t="str">
        <f t="shared" si="6"/>
        <v>1218-268831</v>
      </c>
    </row>
    <row r="450" spans="1:4" ht="14.25" customHeight="1">
      <c r="A450" s="4">
        <v>1218</v>
      </c>
      <c r="B450" s="4">
        <v>273701</v>
      </c>
      <c r="C450" s="5">
        <v>102</v>
      </c>
      <c r="D450" t="str">
        <f t="shared" si="6"/>
        <v>1218-273701</v>
      </c>
    </row>
    <row r="451" spans="1:4" ht="14.25" customHeight="1">
      <c r="A451" s="4">
        <v>1218</v>
      </c>
      <c r="B451" s="4">
        <v>291726</v>
      </c>
      <c r="C451" s="5">
        <v>46</v>
      </c>
      <c r="D451" t="str">
        <f t="shared" ref="D451:D509" si="7">A451&amp;"-"&amp;B451</f>
        <v>1218-291726</v>
      </c>
    </row>
    <row r="452" spans="1:4" ht="14.25" customHeight="1">
      <c r="A452" s="4">
        <v>1218</v>
      </c>
      <c r="B452" s="4">
        <v>291728</v>
      </c>
      <c r="C452" s="5">
        <v>42</v>
      </c>
      <c r="D452" t="str">
        <f t="shared" si="7"/>
        <v>1218-291728</v>
      </c>
    </row>
    <row r="453" spans="1:4" ht="14.25" customHeight="1">
      <c r="A453" s="4">
        <v>1218</v>
      </c>
      <c r="B453" s="4">
        <v>614993</v>
      </c>
      <c r="C453" s="5">
        <v>42</v>
      </c>
      <c r="D453" t="str">
        <f t="shared" si="7"/>
        <v>1218-614993</v>
      </c>
    </row>
    <row r="454" spans="1:4" ht="14.25" customHeight="1">
      <c r="A454" s="4">
        <v>1219</v>
      </c>
      <c r="B454" s="4">
        <v>115600</v>
      </c>
      <c r="C454" s="5">
        <v>112</v>
      </c>
      <c r="D454" t="str">
        <f t="shared" si="7"/>
        <v>1219-115600</v>
      </c>
    </row>
    <row r="455" spans="1:4" ht="14.25" customHeight="1">
      <c r="A455" s="4">
        <v>1219</v>
      </c>
      <c r="B455" s="4">
        <v>129208</v>
      </c>
      <c r="C455" s="5">
        <v>40</v>
      </c>
      <c r="D455" t="str">
        <f t="shared" si="7"/>
        <v>1219-129208</v>
      </c>
    </row>
    <row r="456" spans="1:4" ht="14.25" customHeight="1">
      <c r="A456" s="4">
        <v>1219</v>
      </c>
      <c r="B456" s="4">
        <v>300380</v>
      </c>
      <c r="C456" s="5">
        <v>44</v>
      </c>
      <c r="D456" t="str">
        <f t="shared" si="7"/>
        <v>1219-300380</v>
      </c>
    </row>
    <row r="457" spans="1:4" ht="14.25" customHeight="1">
      <c r="A457" s="4">
        <v>1219</v>
      </c>
      <c r="B457" s="4">
        <v>23393</v>
      </c>
      <c r="C457" s="5">
        <v>94</v>
      </c>
      <c r="D457" t="str">
        <f t="shared" si="7"/>
        <v>1219-23393</v>
      </c>
    </row>
    <row r="458" spans="1:4" ht="14.25" customHeight="1">
      <c r="A458" s="4">
        <v>1219</v>
      </c>
      <c r="B458" s="4">
        <v>26764</v>
      </c>
      <c r="C458" s="5">
        <v>72</v>
      </c>
      <c r="D458" t="str">
        <f t="shared" si="7"/>
        <v>1219-26764</v>
      </c>
    </row>
    <row r="459" spans="1:4" ht="14.25" customHeight="1">
      <c r="A459" s="4">
        <v>1219</v>
      </c>
      <c r="B459" s="4">
        <v>53934</v>
      </c>
      <c r="C459" s="5">
        <v>46</v>
      </c>
      <c r="D459" t="str">
        <f t="shared" si="7"/>
        <v>1219-53934</v>
      </c>
    </row>
    <row r="460" spans="1:4" ht="14.25" customHeight="1">
      <c r="A460" s="4">
        <v>1219</v>
      </c>
      <c r="B460" s="4">
        <v>78699</v>
      </c>
      <c r="C460" s="5">
        <v>66</v>
      </c>
      <c r="D460" t="str">
        <f t="shared" si="7"/>
        <v>1219-78699</v>
      </c>
    </row>
    <row r="461" spans="1:4" ht="14.25" customHeight="1">
      <c r="A461" s="4">
        <v>1219</v>
      </c>
      <c r="B461" s="4">
        <v>78869</v>
      </c>
      <c r="C461" s="5">
        <v>106</v>
      </c>
      <c r="D461" t="str">
        <f t="shared" si="7"/>
        <v>1219-78869</v>
      </c>
    </row>
    <row r="462" spans="1:4" ht="14.25" customHeight="1">
      <c r="A462" s="4">
        <v>1219</v>
      </c>
      <c r="B462" s="4">
        <v>141626</v>
      </c>
      <c r="C462" s="5">
        <v>72</v>
      </c>
      <c r="D462" t="str">
        <f t="shared" si="7"/>
        <v>1219-141626</v>
      </c>
    </row>
    <row r="463" spans="1:4" ht="14.25" customHeight="1">
      <c r="A463" s="4">
        <v>1219</v>
      </c>
      <c r="B463" s="4">
        <v>141791</v>
      </c>
      <c r="C463" s="5">
        <v>62</v>
      </c>
      <c r="D463" t="str">
        <f t="shared" si="7"/>
        <v>1219-141791</v>
      </c>
    </row>
    <row r="464" spans="1:4" ht="14.25" customHeight="1">
      <c r="A464" s="4">
        <v>1219</v>
      </c>
      <c r="B464" s="4">
        <v>141846</v>
      </c>
      <c r="C464" s="5">
        <v>86</v>
      </c>
      <c r="D464" t="str">
        <f t="shared" si="7"/>
        <v>1219-141846</v>
      </c>
    </row>
    <row r="465" spans="1:4" ht="14.25" customHeight="1">
      <c r="A465" s="4">
        <v>1219</v>
      </c>
      <c r="B465" s="4">
        <v>141967</v>
      </c>
      <c r="C465" s="5">
        <v>84</v>
      </c>
      <c r="D465" t="str">
        <f t="shared" si="7"/>
        <v>1219-141967</v>
      </c>
    </row>
    <row r="466" spans="1:4" ht="14.25" customHeight="1">
      <c r="A466" s="4">
        <v>1219</v>
      </c>
      <c r="B466" s="4">
        <v>149729</v>
      </c>
      <c r="C466" s="5">
        <v>76</v>
      </c>
      <c r="D466" t="str">
        <f t="shared" si="7"/>
        <v>1219-149729</v>
      </c>
    </row>
    <row r="467" spans="1:4" ht="14.25" customHeight="1">
      <c r="A467" s="4">
        <v>1219</v>
      </c>
      <c r="B467" s="4">
        <v>149779</v>
      </c>
      <c r="C467" s="5">
        <v>82</v>
      </c>
      <c r="D467" t="str">
        <f t="shared" si="7"/>
        <v>1219-149779</v>
      </c>
    </row>
    <row r="468" spans="1:4" ht="14.25" customHeight="1">
      <c r="A468" s="4">
        <v>1219</v>
      </c>
      <c r="B468" s="4">
        <v>189933</v>
      </c>
      <c r="C468" s="5">
        <v>100</v>
      </c>
      <c r="D468" t="str">
        <f t="shared" si="7"/>
        <v>1219-189933</v>
      </c>
    </row>
    <row r="469" spans="1:4" ht="14.25" customHeight="1">
      <c r="A469" s="4">
        <v>1219</v>
      </c>
      <c r="B469" s="4">
        <v>202577</v>
      </c>
      <c r="C469" s="5">
        <v>112</v>
      </c>
      <c r="D469" t="str">
        <f t="shared" si="7"/>
        <v>1219-202577</v>
      </c>
    </row>
    <row r="470" spans="1:4" ht="14.25" customHeight="1">
      <c r="A470" s="4">
        <v>1219</v>
      </c>
      <c r="B470" s="4">
        <v>234334</v>
      </c>
      <c r="C470" s="5">
        <v>70</v>
      </c>
      <c r="D470" t="str">
        <f t="shared" si="7"/>
        <v>1219-234334</v>
      </c>
    </row>
    <row r="471" spans="1:4" ht="14.25" customHeight="1">
      <c r="A471" s="4">
        <v>1219</v>
      </c>
      <c r="B471" s="4">
        <v>249444</v>
      </c>
      <c r="C471" s="5">
        <v>60</v>
      </c>
      <c r="D471" t="str">
        <f t="shared" si="7"/>
        <v>1219-249444</v>
      </c>
    </row>
    <row r="472" spans="1:4" ht="14.25" customHeight="1">
      <c r="A472" s="4">
        <v>1219</v>
      </c>
      <c r="B472" s="4">
        <v>249795</v>
      </c>
      <c r="C472" s="5">
        <v>62</v>
      </c>
      <c r="D472" t="str">
        <f t="shared" si="7"/>
        <v>1219-249795</v>
      </c>
    </row>
    <row r="473" spans="1:4" ht="14.25" customHeight="1">
      <c r="A473" s="4">
        <v>1219</v>
      </c>
      <c r="B473" s="4">
        <v>250979</v>
      </c>
      <c r="C473" s="5">
        <v>44</v>
      </c>
      <c r="D473" t="str">
        <f t="shared" si="7"/>
        <v>1219-250979</v>
      </c>
    </row>
    <row r="474" spans="1:4" ht="14.25" customHeight="1">
      <c r="A474" s="4">
        <v>1219</v>
      </c>
      <c r="B474" s="4">
        <v>250981</v>
      </c>
      <c r="C474" s="5">
        <v>80</v>
      </c>
      <c r="D474" t="str">
        <f t="shared" si="7"/>
        <v>1219-250981</v>
      </c>
    </row>
    <row r="475" spans="1:4" ht="14.25" customHeight="1">
      <c r="A475" s="4">
        <v>1219</v>
      </c>
      <c r="B475" s="4">
        <v>262294</v>
      </c>
      <c r="C475" s="5">
        <v>46</v>
      </c>
      <c r="D475" t="str">
        <f t="shared" si="7"/>
        <v>1219-262294</v>
      </c>
    </row>
    <row r="476" spans="1:4" ht="14.25" customHeight="1">
      <c r="A476" s="4">
        <v>1219</v>
      </c>
      <c r="B476" s="4">
        <v>268831</v>
      </c>
      <c r="C476" s="5">
        <v>80</v>
      </c>
      <c r="D476" t="str">
        <f t="shared" si="7"/>
        <v>1219-268831</v>
      </c>
    </row>
    <row r="477" spans="1:4" ht="14.25" customHeight="1">
      <c r="A477" s="4">
        <v>1219</v>
      </c>
      <c r="B477" s="4">
        <v>273701</v>
      </c>
      <c r="C477" s="5">
        <v>42</v>
      </c>
      <c r="D477" t="str">
        <f t="shared" si="7"/>
        <v>1219-273701</v>
      </c>
    </row>
    <row r="478" spans="1:4" ht="14.25" customHeight="1">
      <c r="A478" s="4">
        <v>1219</v>
      </c>
      <c r="B478" s="4">
        <v>291726</v>
      </c>
      <c r="C478" s="5">
        <v>48</v>
      </c>
      <c r="D478" t="str">
        <f t="shared" si="7"/>
        <v>1219-291726</v>
      </c>
    </row>
    <row r="479" spans="1:4" ht="14.25" customHeight="1">
      <c r="A479" s="4">
        <v>1219</v>
      </c>
      <c r="B479" s="4">
        <v>291728</v>
      </c>
      <c r="C479" s="5">
        <v>120</v>
      </c>
      <c r="D479" t="str">
        <f t="shared" si="7"/>
        <v>1219-291728</v>
      </c>
    </row>
    <row r="480" spans="1:4" ht="14.25" customHeight="1">
      <c r="A480" s="4">
        <v>1219</v>
      </c>
      <c r="B480" s="4">
        <v>571521</v>
      </c>
      <c r="C480" s="5">
        <v>76</v>
      </c>
      <c r="D480" t="str">
        <f t="shared" si="7"/>
        <v>1219-571521</v>
      </c>
    </row>
    <row r="481" spans="1:4" ht="14.25" customHeight="1">
      <c r="A481" s="4">
        <v>1219</v>
      </c>
      <c r="B481" s="4">
        <v>614993</v>
      </c>
      <c r="C481" s="5">
        <v>62</v>
      </c>
      <c r="D481" t="str">
        <f t="shared" si="7"/>
        <v>1219-614993</v>
      </c>
    </row>
    <row r="482" spans="1:4" ht="14.25" customHeight="1">
      <c r="A482" s="4">
        <v>1220</v>
      </c>
      <c r="B482" s="4">
        <v>115600</v>
      </c>
      <c r="C482" s="5">
        <v>74</v>
      </c>
      <c r="D482" t="str">
        <f t="shared" si="7"/>
        <v>1220-115600</v>
      </c>
    </row>
    <row r="483" spans="1:4" ht="14.25" customHeight="1">
      <c r="A483" s="4">
        <v>1220</v>
      </c>
      <c r="B483" s="4">
        <v>129208</v>
      </c>
      <c r="C483" s="5">
        <v>110</v>
      </c>
      <c r="D483" t="str">
        <f t="shared" si="7"/>
        <v>1220-129208</v>
      </c>
    </row>
    <row r="484" spans="1:4" ht="14.25" customHeight="1">
      <c r="A484" s="4">
        <v>1220</v>
      </c>
      <c r="B484" s="4">
        <v>300380</v>
      </c>
      <c r="C484" s="5">
        <v>90</v>
      </c>
      <c r="D484" t="str">
        <f t="shared" si="7"/>
        <v>1220-300380</v>
      </c>
    </row>
    <row r="485" spans="1:4" ht="14.25" customHeight="1">
      <c r="A485" s="4">
        <v>1220</v>
      </c>
      <c r="B485" s="4">
        <v>23393</v>
      </c>
      <c r="C485" s="5">
        <v>86</v>
      </c>
      <c r="D485" t="str">
        <f t="shared" si="7"/>
        <v>1220-23393</v>
      </c>
    </row>
    <row r="486" spans="1:4" ht="14.25" customHeight="1">
      <c r="A486" s="4">
        <v>1220</v>
      </c>
      <c r="B486" s="4">
        <v>26764</v>
      </c>
      <c r="C486" s="5">
        <v>78</v>
      </c>
      <c r="D486" t="str">
        <f t="shared" si="7"/>
        <v>1220-26764</v>
      </c>
    </row>
    <row r="487" spans="1:4" ht="14.25" customHeight="1">
      <c r="A487" s="4">
        <v>1220</v>
      </c>
      <c r="B487" s="4">
        <v>78699</v>
      </c>
      <c r="C487" s="5">
        <v>68</v>
      </c>
      <c r="D487" t="str">
        <f t="shared" si="7"/>
        <v>1220-78699</v>
      </c>
    </row>
    <row r="488" spans="1:4" ht="14.25" customHeight="1">
      <c r="A488" s="4">
        <v>1220</v>
      </c>
      <c r="B488" s="4">
        <v>78869</v>
      </c>
      <c r="C488" s="5">
        <v>46</v>
      </c>
      <c r="D488" t="str">
        <f t="shared" si="7"/>
        <v>1220-78869</v>
      </c>
    </row>
    <row r="489" spans="1:4" ht="14.25" customHeight="1">
      <c r="A489" s="4">
        <v>1220</v>
      </c>
      <c r="B489" s="4">
        <v>141622</v>
      </c>
      <c r="C489" s="5">
        <v>72</v>
      </c>
      <c r="D489" t="str">
        <f t="shared" si="7"/>
        <v>1220-141622</v>
      </c>
    </row>
    <row r="490" spans="1:4" ht="14.25" customHeight="1">
      <c r="A490" s="4">
        <v>1220</v>
      </c>
      <c r="B490" s="4">
        <v>141626</v>
      </c>
      <c r="C490" s="5">
        <v>72</v>
      </c>
      <c r="D490" t="str">
        <f t="shared" si="7"/>
        <v>1220-141626</v>
      </c>
    </row>
    <row r="491" spans="1:4" ht="14.25" customHeight="1">
      <c r="A491" s="4">
        <v>1220</v>
      </c>
      <c r="B491" s="4">
        <v>141791</v>
      </c>
      <c r="C491" s="5">
        <v>62</v>
      </c>
      <c r="D491" t="str">
        <f t="shared" si="7"/>
        <v>1220-141791</v>
      </c>
    </row>
    <row r="492" spans="1:4" ht="14.25" customHeight="1">
      <c r="A492" s="4">
        <v>1220</v>
      </c>
      <c r="B492" s="4">
        <v>141846</v>
      </c>
      <c r="C492" s="5">
        <v>94</v>
      </c>
      <c r="D492" t="str">
        <f t="shared" si="7"/>
        <v>1220-141846</v>
      </c>
    </row>
    <row r="493" spans="1:4" ht="14.25" customHeight="1">
      <c r="A493" s="4">
        <v>1220</v>
      </c>
      <c r="B493" s="4">
        <v>141967</v>
      </c>
      <c r="C493" s="5">
        <v>70</v>
      </c>
      <c r="D493" t="str">
        <f t="shared" si="7"/>
        <v>1220-141967</v>
      </c>
    </row>
    <row r="494" spans="1:4" ht="14.25" customHeight="1">
      <c r="A494" s="4">
        <v>1220</v>
      </c>
      <c r="B494" s="4">
        <v>142194</v>
      </c>
      <c r="C494" s="5">
        <v>120</v>
      </c>
      <c r="D494" t="str">
        <f t="shared" si="7"/>
        <v>1220-142194</v>
      </c>
    </row>
    <row r="495" spans="1:4" ht="14.25" customHeight="1">
      <c r="A495" s="4">
        <v>1220</v>
      </c>
      <c r="B495" s="4">
        <v>149729</v>
      </c>
      <c r="C495" s="5">
        <v>104</v>
      </c>
      <c r="D495" t="str">
        <f t="shared" si="7"/>
        <v>1220-149729</v>
      </c>
    </row>
    <row r="496" spans="1:4" ht="14.25" customHeight="1">
      <c r="A496" s="4">
        <v>1220</v>
      </c>
      <c r="B496" s="4">
        <v>149779</v>
      </c>
      <c r="C496" s="5">
        <v>42</v>
      </c>
      <c r="D496" t="str">
        <f t="shared" si="7"/>
        <v>1220-149779</v>
      </c>
    </row>
    <row r="497" spans="1:4" ht="14.25" customHeight="1">
      <c r="A497" s="4">
        <v>1220</v>
      </c>
      <c r="B497" s="4">
        <v>189933</v>
      </c>
      <c r="C497" s="5">
        <v>40</v>
      </c>
      <c r="D497" t="str">
        <f t="shared" si="7"/>
        <v>1220-189933</v>
      </c>
    </row>
    <row r="498" spans="1:4" ht="14.25" customHeight="1">
      <c r="A498" s="4">
        <v>1220</v>
      </c>
      <c r="B498" s="4">
        <v>202577</v>
      </c>
      <c r="C498" s="5">
        <v>58</v>
      </c>
      <c r="D498" t="str">
        <f t="shared" si="7"/>
        <v>1220-202577</v>
      </c>
    </row>
    <row r="499" spans="1:4" ht="14.25" customHeight="1">
      <c r="A499" s="4">
        <v>1220</v>
      </c>
      <c r="B499" s="4">
        <v>234334</v>
      </c>
      <c r="C499" s="5">
        <v>82</v>
      </c>
      <c r="D499" t="str">
        <f t="shared" si="7"/>
        <v>1220-234334</v>
      </c>
    </row>
    <row r="500" spans="1:4" ht="14.25" customHeight="1">
      <c r="A500" s="4">
        <v>1220</v>
      </c>
      <c r="B500" s="4">
        <v>249444</v>
      </c>
      <c r="C500" s="5">
        <v>70</v>
      </c>
      <c r="D500" t="str">
        <f t="shared" si="7"/>
        <v>1220-249444</v>
      </c>
    </row>
    <row r="501" spans="1:4" ht="14.25" customHeight="1">
      <c r="A501" s="4">
        <v>1220</v>
      </c>
      <c r="B501" s="4">
        <v>249795</v>
      </c>
      <c r="C501" s="5">
        <v>92</v>
      </c>
      <c r="D501" t="str">
        <f t="shared" si="7"/>
        <v>1220-249795</v>
      </c>
    </row>
    <row r="502" spans="1:4" ht="14.25" customHeight="1">
      <c r="A502" s="4">
        <v>1220</v>
      </c>
      <c r="B502" s="4">
        <v>250979</v>
      </c>
      <c r="C502" s="5">
        <v>46</v>
      </c>
      <c r="D502" t="str">
        <f t="shared" si="7"/>
        <v>1220-250979</v>
      </c>
    </row>
    <row r="503" spans="1:4" ht="14.25" customHeight="1">
      <c r="A503" s="4">
        <v>1220</v>
      </c>
      <c r="B503" s="4">
        <v>250981</v>
      </c>
      <c r="C503" s="5">
        <v>86</v>
      </c>
      <c r="D503" t="str">
        <f t="shared" si="7"/>
        <v>1220-250981</v>
      </c>
    </row>
    <row r="504" spans="1:4" ht="14.25" customHeight="1">
      <c r="A504" s="4">
        <v>1220</v>
      </c>
      <c r="B504" s="4">
        <v>262294</v>
      </c>
      <c r="C504" s="5">
        <v>42</v>
      </c>
      <c r="D504" t="str">
        <f t="shared" si="7"/>
        <v>1220-262294</v>
      </c>
    </row>
    <row r="505" spans="1:4" ht="14.25" customHeight="1">
      <c r="A505" s="4">
        <v>1220</v>
      </c>
      <c r="B505" s="4">
        <v>268831</v>
      </c>
      <c r="C505" s="5">
        <v>84</v>
      </c>
      <c r="D505" t="str">
        <f t="shared" si="7"/>
        <v>1220-268831</v>
      </c>
    </row>
    <row r="506" spans="1:4" ht="14.25" customHeight="1">
      <c r="A506" s="4">
        <v>1220</v>
      </c>
      <c r="B506" s="4">
        <v>273701</v>
      </c>
      <c r="C506" s="5">
        <v>100</v>
      </c>
      <c r="D506" t="str">
        <f t="shared" si="7"/>
        <v>1220-273701</v>
      </c>
    </row>
    <row r="507" spans="1:4" ht="14.25" customHeight="1">
      <c r="A507" s="4">
        <v>1220</v>
      </c>
      <c r="B507" s="4">
        <v>291726</v>
      </c>
      <c r="C507" s="5">
        <v>46</v>
      </c>
      <c r="D507" t="str">
        <f t="shared" si="7"/>
        <v>1220-291726</v>
      </c>
    </row>
    <row r="508" spans="1:4" ht="14.25" customHeight="1">
      <c r="A508" s="4">
        <v>1220</v>
      </c>
      <c r="B508" s="4">
        <v>291728</v>
      </c>
      <c r="C508" s="5">
        <v>114</v>
      </c>
      <c r="D508" t="str">
        <f t="shared" si="7"/>
        <v>1220-291728</v>
      </c>
    </row>
    <row r="509" spans="1:4" ht="14.25" customHeight="1">
      <c r="A509" s="4">
        <v>1220</v>
      </c>
      <c r="B509" s="4">
        <v>571521</v>
      </c>
      <c r="C509" s="5">
        <v>58</v>
      </c>
      <c r="D509" t="str">
        <f t="shared" si="7"/>
        <v>1220-571521</v>
      </c>
    </row>
    <row r="510" spans="1:4" ht="14.25" customHeight="1">
      <c r="A510" s="4">
        <v>1220</v>
      </c>
      <c r="B510" s="4">
        <v>614993</v>
      </c>
      <c r="C510" s="5">
        <v>78</v>
      </c>
      <c r="D510">
        <f>DRP_V1!I1</f>
        <v>0</v>
      </c>
    </row>
    <row r="511" spans="1:4" ht="14.25" customHeight="1">
      <c r="C511" s="5"/>
    </row>
    <row r="512" spans="1:4" ht="14.25" customHeight="1">
      <c r="C512" s="5"/>
    </row>
    <row r="513" spans="3:3" ht="14.25" customHeight="1">
      <c r="C513" s="5"/>
    </row>
    <row r="514" spans="3:3" ht="14.25" customHeight="1">
      <c r="C514" s="5"/>
    </row>
    <row r="515" spans="3:3" ht="14.25" customHeight="1">
      <c r="C515" s="5"/>
    </row>
    <row r="516" spans="3:3" ht="14.25" customHeight="1">
      <c r="C516" s="5"/>
    </row>
    <row r="517" spans="3:3" ht="14.25" customHeight="1">
      <c r="C517" s="5"/>
    </row>
    <row r="518" spans="3:3" ht="14.25" customHeight="1">
      <c r="C518" s="5"/>
    </row>
    <row r="519" spans="3:3" ht="14.25" customHeight="1">
      <c r="C519" s="5"/>
    </row>
    <row r="520" spans="3:3" ht="14.25" customHeight="1">
      <c r="C520" s="5"/>
    </row>
    <row r="521" spans="3:3" ht="14.25" customHeight="1">
      <c r="C521" s="5"/>
    </row>
    <row r="522" spans="3:3" ht="14.25" customHeight="1">
      <c r="C522" s="5"/>
    </row>
    <row r="523" spans="3:3" ht="14.25" customHeight="1">
      <c r="C523" s="5"/>
    </row>
    <row r="524" spans="3:3" ht="14.25" customHeight="1">
      <c r="C524" s="5"/>
    </row>
    <row r="525" spans="3:3" ht="14.25" customHeight="1">
      <c r="C525" s="5"/>
    </row>
    <row r="526" spans="3:3" ht="14.25" customHeight="1">
      <c r="C526" s="5"/>
    </row>
    <row r="527" spans="3:3" ht="14.25" customHeight="1">
      <c r="C527" s="5"/>
    </row>
    <row r="528" spans="3:3" ht="14.25" customHeight="1">
      <c r="C528" s="5"/>
    </row>
    <row r="529" spans="3:3" ht="14.25" customHeight="1">
      <c r="C529" s="5"/>
    </row>
    <row r="530" spans="3:3" ht="14.25" customHeight="1">
      <c r="C530" s="5"/>
    </row>
    <row r="531" spans="3:3" ht="14.25" customHeight="1">
      <c r="C531" s="5"/>
    </row>
    <row r="532" spans="3:3" ht="14.25" customHeight="1">
      <c r="C532" s="5"/>
    </row>
    <row r="533" spans="3:3" ht="14.25" customHeight="1">
      <c r="C533" s="5"/>
    </row>
    <row r="534" spans="3:3" ht="14.25" customHeight="1">
      <c r="C534" s="5"/>
    </row>
    <row r="535" spans="3:3" ht="14.25" customHeight="1">
      <c r="C535" s="5"/>
    </row>
    <row r="536" spans="3:3" ht="14.25" customHeight="1">
      <c r="C536" s="5"/>
    </row>
    <row r="537" spans="3:3" ht="14.25" customHeight="1">
      <c r="C537" s="5"/>
    </row>
    <row r="538" spans="3:3" ht="14.25" customHeight="1">
      <c r="C538" s="5"/>
    </row>
    <row r="539" spans="3:3" ht="14.25" customHeight="1">
      <c r="C539" s="5"/>
    </row>
    <row r="540" spans="3:3" ht="14.25" customHeight="1">
      <c r="C540" s="5"/>
    </row>
    <row r="541" spans="3:3" ht="14.25" customHeight="1">
      <c r="C541" s="5"/>
    </row>
    <row r="542" spans="3:3" ht="14.25" customHeight="1">
      <c r="C542" s="5"/>
    </row>
    <row r="543" spans="3:3" ht="14.25" customHeight="1">
      <c r="C543" s="5"/>
    </row>
    <row r="544" spans="3:3" ht="14.25" customHeight="1">
      <c r="C544" s="5"/>
    </row>
    <row r="545" spans="3:3" ht="14.25" customHeight="1">
      <c r="C545" s="5"/>
    </row>
    <row r="546" spans="3:3" ht="14.25" customHeight="1">
      <c r="C546" s="5"/>
    </row>
    <row r="547" spans="3:3" ht="14.25" customHeight="1">
      <c r="C547" s="5"/>
    </row>
    <row r="548" spans="3:3" ht="14.25" customHeight="1">
      <c r="C548" s="5"/>
    </row>
    <row r="549" spans="3:3" ht="14.25" customHeight="1">
      <c r="C549" s="5"/>
    </row>
    <row r="550" spans="3:3" ht="14.25" customHeight="1">
      <c r="C550" s="5"/>
    </row>
    <row r="551" spans="3:3" ht="14.25" customHeight="1">
      <c r="C551" s="5"/>
    </row>
    <row r="552" spans="3:3" ht="14.25" customHeight="1">
      <c r="C552" s="5"/>
    </row>
    <row r="553" spans="3:3" ht="14.25" customHeight="1">
      <c r="C553" s="5"/>
    </row>
    <row r="554" spans="3:3" ht="14.25" customHeight="1">
      <c r="C554" s="5"/>
    </row>
    <row r="555" spans="3:3" ht="14.25" customHeight="1">
      <c r="C555" s="5"/>
    </row>
    <row r="556" spans="3:3" ht="14.25" customHeight="1">
      <c r="C556" s="5"/>
    </row>
    <row r="557" spans="3:3" ht="14.25" customHeight="1">
      <c r="C557" s="5"/>
    </row>
    <row r="558" spans="3:3" ht="14.25" customHeight="1">
      <c r="C558" s="5"/>
    </row>
    <row r="559" spans="3:3" ht="14.25" customHeight="1">
      <c r="C559" s="5"/>
    </row>
    <row r="560" spans="3:3" ht="14.25" customHeight="1">
      <c r="C560" s="5"/>
    </row>
    <row r="561" spans="3:3" ht="14.25" customHeight="1">
      <c r="C561" s="5"/>
    </row>
    <row r="562" spans="3:3" ht="14.25" customHeight="1">
      <c r="C562" s="5"/>
    </row>
    <row r="563" spans="3:3" ht="14.25" customHeight="1">
      <c r="C563" s="5"/>
    </row>
    <row r="564" spans="3:3" ht="14.25" customHeight="1">
      <c r="C564" s="5"/>
    </row>
    <row r="565" spans="3:3" ht="14.25" customHeight="1">
      <c r="C565" s="5"/>
    </row>
    <row r="566" spans="3:3" ht="14.25" customHeight="1">
      <c r="C566" s="5"/>
    </row>
    <row r="567" spans="3:3" ht="14.25" customHeight="1">
      <c r="C567" s="5"/>
    </row>
    <row r="568" spans="3:3" ht="14.25" customHeight="1">
      <c r="C568" s="5"/>
    </row>
    <row r="569" spans="3:3" ht="14.25" customHeight="1">
      <c r="C569" s="5"/>
    </row>
    <row r="570" spans="3:3" ht="14.25" customHeight="1">
      <c r="C570" s="5"/>
    </row>
    <row r="571" spans="3:3" ht="14.25" customHeight="1">
      <c r="C571" s="5"/>
    </row>
    <row r="572" spans="3:3" ht="14.25" customHeight="1">
      <c r="C572" s="5"/>
    </row>
    <row r="573" spans="3:3" ht="14.25" customHeight="1">
      <c r="C573" s="5"/>
    </row>
    <row r="574" spans="3:3" ht="14.25" customHeight="1">
      <c r="C574" s="5"/>
    </row>
    <row r="575" spans="3:3" ht="14.25" customHeight="1">
      <c r="C575" s="5"/>
    </row>
    <row r="576" spans="3:3" ht="14.25" customHeight="1">
      <c r="C576" s="5"/>
    </row>
    <row r="577" spans="3:3" ht="14.25" customHeight="1">
      <c r="C577" s="5"/>
    </row>
    <row r="578" spans="3:3" ht="14.25" customHeight="1">
      <c r="C578" s="5"/>
    </row>
    <row r="579" spans="3:3" ht="14.25" customHeight="1">
      <c r="C579" s="5"/>
    </row>
    <row r="580" spans="3:3" ht="14.25" customHeight="1">
      <c r="C580" s="5"/>
    </row>
    <row r="581" spans="3:3" ht="14.25" customHeight="1">
      <c r="C581" s="5"/>
    </row>
    <row r="582" spans="3:3" ht="14.25" customHeight="1">
      <c r="C582" s="5"/>
    </row>
    <row r="583" spans="3:3" ht="14.25" customHeight="1">
      <c r="C583" s="5"/>
    </row>
    <row r="584" spans="3:3" ht="14.25" customHeight="1">
      <c r="C584" s="5"/>
    </row>
    <row r="585" spans="3:3" ht="14.25" customHeight="1">
      <c r="C585" s="5"/>
    </row>
    <row r="586" spans="3:3" ht="14.25" customHeight="1">
      <c r="C586" s="5"/>
    </row>
    <row r="587" spans="3:3" ht="14.25" customHeight="1">
      <c r="C587" s="5"/>
    </row>
    <row r="588" spans="3:3" ht="14.25" customHeight="1">
      <c r="C588" s="5"/>
    </row>
    <row r="589" spans="3:3" ht="14.25" customHeight="1">
      <c r="C589" s="5"/>
    </row>
    <row r="590" spans="3:3" ht="14.25" customHeight="1">
      <c r="C590" s="5"/>
    </row>
    <row r="591" spans="3:3" ht="14.25" customHeight="1">
      <c r="C591" s="5"/>
    </row>
    <row r="592" spans="3:3" ht="14.25" customHeight="1">
      <c r="C592" s="5"/>
    </row>
    <row r="593" spans="3:3" ht="14.25" customHeight="1">
      <c r="C593" s="5"/>
    </row>
    <row r="594" spans="3:3" ht="14.25" customHeight="1">
      <c r="C594" s="5"/>
    </row>
    <row r="595" spans="3:3" ht="14.25" customHeight="1">
      <c r="C595" s="5"/>
    </row>
    <row r="596" spans="3:3" ht="14.25" customHeight="1">
      <c r="C596" s="5"/>
    </row>
    <row r="597" spans="3:3" ht="14.25" customHeight="1">
      <c r="C597" s="5"/>
    </row>
    <row r="598" spans="3:3" ht="14.25" customHeight="1">
      <c r="C598" s="5"/>
    </row>
    <row r="599" spans="3:3" ht="14.25" customHeight="1">
      <c r="C599" s="5"/>
    </row>
    <row r="600" spans="3:3" ht="14.25" customHeight="1">
      <c r="C600" s="5"/>
    </row>
    <row r="601" spans="3:3" ht="14.25" customHeight="1">
      <c r="C601" s="5"/>
    </row>
    <row r="602" spans="3:3" ht="14.25" customHeight="1">
      <c r="C602" s="5"/>
    </row>
    <row r="603" spans="3:3" ht="14.25" customHeight="1">
      <c r="C603" s="5"/>
    </row>
    <row r="604" spans="3:3" ht="14.25" customHeight="1">
      <c r="C604" s="5"/>
    </row>
    <row r="605" spans="3:3" ht="14.25" customHeight="1">
      <c r="C605" s="5"/>
    </row>
    <row r="606" spans="3:3" ht="14.25" customHeight="1">
      <c r="C606" s="5"/>
    </row>
    <row r="607" spans="3:3" ht="14.25" customHeight="1">
      <c r="C607" s="5"/>
    </row>
    <row r="608" spans="3:3" ht="14.25" customHeight="1">
      <c r="C608" s="5"/>
    </row>
    <row r="609" spans="3:3" ht="14.25" customHeight="1">
      <c r="C609" s="5"/>
    </row>
    <row r="610" spans="3:3" ht="14.25" customHeight="1">
      <c r="C610" s="5"/>
    </row>
    <row r="611" spans="3:3" ht="14.25" customHeight="1">
      <c r="C611" s="5"/>
    </row>
    <row r="612" spans="3:3" ht="14.25" customHeight="1">
      <c r="C612" s="5"/>
    </row>
    <row r="613" spans="3:3" ht="14.25" customHeight="1">
      <c r="C613" s="5"/>
    </row>
    <row r="614" spans="3:3" ht="14.25" customHeight="1">
      <c r="C614" s="5"/>
    </row>
    <row r="615" spans="3:3" ht="14.25" customHeight="1">
      <c r="C615" s="5"/>
    </row>
    <row r="616" spans="3:3" ht="14.25" customHeight="1">
      <c r="C616" s="5"/>
    </row>
    <row r="617" spans="3:3" ht="14.25" customHeight="1">
      <c r="C617" s="5"/>
    </row>
    <row r="618" spans="3:3" ht="14.25" customHeight="1">
      <c r="C618" s="5"/>
    </row>
    <row r="619" spans="3:3" ht="14.25" customHeight="1">
      <c r="C619" s="5"/>
    </row>
    <row r="620" spans="3:3" ht="14.25" customHeight="1">
      <c r="C620" s="5"/>
    </row>
    <row r="621" spans="3:3" ht="14.25" customHeight="1">
      <c r="C621" s="5"/>
    </row>
    <row r="622" spans="3:3" ht="14.25" customHeight="1">
      <c r="C622" s="5"/>
    </row>
    <row r="623" spans="3:3" ht="14.25" customHeight="1">
      <c r="C623" s="5"/>
    </row>
    <row r="624" spans="3:3" ht="14.25" customHeight="1">
      <c r="C624" s="5"/>
    </row>
    <row r="625" spans="3:3" ht="14.25" customHeight="1">
      <c r="C625" s="5"/>
    </row>
    <row r="626" spans="3:3" ht="14.25" customHeight="1">
      <c r="C626" s="5"/>
    </row>
    <row r="627" spans="3:3" ht="14.25" customHeight="1">
      <c r="C627" s="5"/>
    </row>
    <row r="628" spans="3:3" ht="14.25" customHeight="1">
      <c r="C628" s="5"/>
    </row>
    <row r="629" spans="3:3" ht="14.25" customHeight="1">
      <c r="C629" s="5"/>
    </row>
    <row r="630" spans="3:3" ht="14.25" customHeight="1">
      <c r="C630" s="5"/>
    </row>
    <row r="631" spans="3:3" ht="14.25" customHeight="1">
      <c r="C631" s="5"/>
    </row>
    <row r="632" spans="3:3" ht="14.25" customHeight="1">
      <c r="C632" s="5"/>
    </row>
    <row r="633" spans="3:3" ht="14.25" customHeight="1">
      <c r="C633" s="5"/>
    </row>
    <row r="634" spans="3:3" ht="14.25" customHeight="1">
      <c r="C634" s="5"/>
    </row>
    <row r="635" spans="3:3" ht="14.25" customHeight="1">
      <c r="C635" s="5"/>
    </row>
    <row r="636" spans="3:3" ht="14.25" customHeight="1">
      <c r="C636" s="5"/>
    </row>
    <row r="637" spans="3:3" ht="14.25" customHeight="1">
      <c r="C637" s="5"/>
    </row>
    <row r="638" spans="3:3" ht="14.25" customHeight="1">
      <c r="C638" s="5"/>
    </row>
    <row r="639" spans="3:3" ht="14.25" customHeight="1">
      <c r="C639" s="5"/>
    </row>
    <row r="640" spans="3:3" ht="14.25" customHeight="1">
      <c r="C640" s="5"/>
    </row>
    <row r="641" spans="3:3" ht="14.25" customHeight="1">
      <c r="C641" s="5"/>
    </row>
    <row r="642" spans="3:3" ht="14.25" customHeight="1">
      <c r="C642" s="5"/>
    </row>
    <row r="643" spans="3:3" ht="14.25" customHeight="1">
      <c r="C643" s="5"/>
    </row>
    <row r="644" spans="3:3" ht="14.25" customHeight="1">
      <c r="C644" s="5"/>
    </row>
    <row r="645" spans="3:3" ht="14.25" customHeight="1">
      <c r="C645" s="5"/>
    </row>
    <row r="646" spans="3:3" ht="14.25" customHeight="1">
      <c r="C646" s="5"/>
    </row>
    <row r="647" spans="3:3" ht="14.25" customHeight="1">
      <c r="C647" s="5"/>
    </row>
    <row r="648" spans="3:3" ht="14.25" customHeight="1">
      <c r="C648" s="5"/>
    </row>
    <row r="649" spans="3:3" ht="14.25" customHeight="1">
      <c r="C649" s="5"/>
    </row>
    <row r="650" spans="3:3" ht="14.25" customHeight="1">
      <c r="C650" s="5"/>
    </row>
    <row r="651" spans="3:3" ht="14.25" customHeight="1">
      <c r="C651" s="5"/>
    </row>
    <row r="652" spans="3:3" ht="14.25" customHeight="1">
      <c r="C652" s="5"/>
    </row>
    <row r="653" spans="3:3" ht="14.25" customHeight="1">
      <c r="C653" s="5"/>
    </row>
    <row r="654" spans="3:3" ht="14.25" customHeight="1">
      <c r="C654" s="5"/>
    </row>
    <row r="655" spans="3:3" ht="14.25" customHeight="1">
      <c r="C655" s="5"/>
    </row>
    <row r="656" spans="3:3" ht="14.25" customHeight="1">
      <c r="C656" s="5"/>
    </row>
    <row r="657" spans="3:3" ht="14.25" customHeight="1">
      <c r="C657" s="5"/>
    </row>
    <row r="658" spans="3:3" ht="14.25" customHeight="1">
      <c r="C658" s="5"/>
    </row>
    <row r="659" spans="3:3" ht="14.25" customHeight="1">
      <c r="C659" s="5"/>
    </row>
    <row r="660" spans="3:3" ht="14.25" customHeight="1">
      <c r="C660" s="5"/>
    </row>
    <row r="661" spans="3:3" ht="14.25" customHeight="1">
      <c r="C661" s="5"/>
    </row>
    <row r="662" spans="3:3" ht="14.25" customHeight="1">
      <c r="C662" s="5"/>
    </row>
    <row r="663" spans="3:3" ht="14.25" customHeight="1">
      <c r="C663" s="5"/>
    </row>
    <row r="664" spans="3:3" ht="14.25" customHeight="1">
      <c r="C664" s="5"/>
    </row>
    <row r="665" spans="3:3" ht="14.25" customHeight="1">
      <c r="C665" s="5"/>
    </row>
    <row r="666" spans="3:3" ht="14.25" customHeight="1">
      <c r="C666" s="5"/>
    </row>
    <row r="667" spans="3:3" ht="14.25" customHeight="1">
      <c r="C667" s="5"/>
    </row>
    <row r="668" spans="3:3" ht="14.25" customHeight="1">
      <c r="C668" s="5"/>
    </row>
    <row r="669" spans="3:3" ht="14.25" customHeight="1">
      <c r="C669" s="5"/>
    </row>
    <row r="670" spans="3:3" ht="14.25" customHeight="1">
      <c r="C670" s="5"/>
    </row>
    <row r="671" spans="3:3" ht="14.25" customHeight="1">
      <c r="C671" s="5"/>
    </row>
    <row r="672" spans="3:3" ht="14.25" customHeight="1">
      <c r="C672" s="5"/>
    </row>
    <row r="673" spans="3:3" ht="14.25" customHeight="1">
      <c r="C673" s="5"/>
    </row>
    <row r="674" spans="3:3" ht="14.25" customHeight="1">
      <c r="C674" s="5"/>
    </row>
    <row r="675" spans="3:3" ht="14.25" customHeight="1">
      <c r="C675" s="5"/>
    </row>
    <row r="676" spans="3:3" ht="14.25" customHeight="1">
      <c r="C676" s="5"/>
    </row>
    <row r="677" spans="3:3" ht="14.25" customHeight="1">
      <c r="C677" s="5"/>
    </row>
    <row r="678" spans="3:3" ht="14.25" customHeight="1">
      <c r="C678" s="5"/>
    </row>
    <row r="679" spans="3:3" ht="14.25" customHeight="1">
      <c r="C679" s="5"/>
    </row>
    <row r="680" spans="3:3" ht="14.25" customHeight="1">
      <c r="C680" s="5"/>
    </row>
    <row r="681" spans="3:3" ht="14.25" customHeight="1">
      <c r="C681" s="5"/>
    </row>
    <row r="682" spans="3:3" ht="14.25" customHeight="1">
      <c r="C682" s="5"/>
    </row>
    <row r="683" spans="3:3" ht="14.25" customHeight="1">
      <c r="C683" s="5"/>
    </row>
    <row r="684" spans="3:3" ht="14.25" customHeight="1">
      <c r="C684" s="5"/>
    </row>
    <row r="685" spans="3:3" ht="14.25" customHeight="1">
      <c r="C685" s="5"/>
    </row>
    <row r="686" spans="3:3" ht="14.25" customHeight="1">
      <c r="C686" s="5"/>
    </row>
    <row r="687" spans="3:3" ht="14.25" customHeight="1">
      <c r="C687" s="5"/>
    </row>
    <row r="688" spans="3:3" ht="14.25" customHeight="1">
      <c r="C688" s="5"/>
    </row>
    <row r="689" spans="3:3" ht="14.25" customHeight="1">
      <c r="C689" s="5"/>
    </row>
    <row r="690" spans="3:3" ht="14.25" customHeight="1">
      <c r="C690" s="5"/>
    </row>
    <row r="691" spans="3:3" ht="14.25" customHeight="1">
      <c r="C691" s="5"/>
    </row>
    <row r="692" spans="3:3" ht="14.25" customHeight="1">
      <c r="C692" s="5"/>
    </row>
    <row r="693" spans="3:3" ht="14.25" customHeight="1">
      <c r="C693" s="5"/>
    </row>
    <row r="694" spans="3:3" ht="14.25" customHeight="1">
      <c r="C694" s="5"/>
    </row>
    <row r="695" spans="3:3" ht="14.25" customHeight="1">
      <c r="C695" s="5"/>
    </row>
    <row r="696" spans="3:3" ht="14.25" customHeight="1">
      <c r="C696" s="5"/>
    </row>
    <row r="697" spans="3:3" ht="14.25" customHeight="1">
      <c r="C697" s="5"/>
    </row>
    <row r="698" spans="3:3" ht="14.25" customHeight="1">
      <c r="C698" s="5"/>
    </row>
    <row r="699" spans="3:3" ht="14.25" customHeight="1">
      <c r="C699" s="5"/>
    </row>
    <row r="700" spans="3:3" ht="14.25" customHeight="1">
      <c r="C700" s="5"/>
    </row>
    <row r="701" spans="3:3" ht="14.25" customHeight="1">
      <c r="C701" s="5"/>
    </row>
    <row r="702" spans="3:3" ht="14.25" customHeight="1">
      <c r="C702" s="5"/>
    </row>
    <row r="703" spans="3:3" ht="14.25" customHeight="1">
      <c r="C703" s="5"/>
    </row>
    <row r="704" spans="3:3" ht="14.25" customHeight="1">
      <c r="C704" s="5"/>
    </row>
    <row r="705" spans="3:3" ht="14.25" customHeight="1">
      <c r="C705" s="5"/>
    </row>
    <row r="706" spans="3:3" ht="14.25" customHeight="1">
      <c r="C706" s="5"/>
    </row>
    <row r="707" spans="3:3" ht="14.25" customHeight="1">
      <c r="C707" s="5"/>
    </row>
    <row r="708" spans="3:3" ht="14.25" customHeight="1">
      <c r="C708" s="5"/>
    </row>
    <row r="709" spans="3:3" ht="14.25" customHeight="1">
      <c r="C709" s="5"/>
    </row>
    <row r="710" spans="3:3" ht="14.25" customHeight="1">
      <c r="C710" s="5"/>
    </row>
    <row r="711" spans="3:3" ht="14.25" customHeight="1"/>
    <row r="712" spans="3:3" ht="14.25" customHeight="1"/>
    <row r="713" spans="3:3" ht="14.25" customHeight="1"/>
    <row r="714" spans="3:3" ht="14.25" customHeight="1"/>
    <row r="715" spans="3:3" ht="14.25" customHeight="1"/>
    <row r="716" spans="3:3" ht="14.25" customHeight="1"/>
    <row r="717" spans="3:3" ht="14.25" customHeight="1"/>
    <row r="718" spans="3:3" ht="14.25" customHeight="1"/>
    <row r="719" spans="3:3" ht="14.25" customHeight="1"/>
    <row r="720" spans="3:3"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13"/>
  <sheetViews>
    <sheetView topLeftCell="A12" workbookViewId="0">
      <selection activeCell="C28" sqref="C28"/>
    </sheetView>
  </sheetViews>
  <sheetFormatPr baseColWidth="10" defaultColWidth="14.44140625" defaultRowHeight="15" customHeight="1"/>
  <cols>
    <col min="1" max="1" width="19.33203125" customWidth="1"/>
    <col min="2" max="2" width="8.6640625" customWidth="1"/>
    <col min="3" max="3" width="68.33203125" customWidth="1"/>
    <col min="4" max="26" width="8.6640625" customWidth="1"/>
  </cols>
  <sheetData>
    <row r="1" spans="1:3" ht="14.25" customHeight="1">
      <c r="A1" s="23"/>
    </row>
    <row r="2" spans="1:3" ht="14.25" customHeight="1">
      <c r="A2" s="24" t="s">
        <v>63</v>
      </c>
    </row>
    <row r="3" spans="1:3" ht="14.25" customHeight="1"/>
    <row r="4" spans="1:3" ht="14.25" customHeight="1">
      <c r="A4" s="25" t="s">
        <v>64</v>
      </c>
      <c r="B4" s="26" t="s">
        <v>65</v>
      </c>
      <c r="C4" s="27"/>
    </row>
    <row r="5" spans="1:3" ht="14.25" customHeight="1">
      <c r="A5" s="28" t="s">
        <v>66</v>
      </c>
      <c r="B5" s="29" t="s">
        <v>67</v>
      </c>
      <c r="C5" s="30" t="s">
        <v>68</v>
      </c>
    </row>
    <row r="6" spans="1:3" ht="14.25" customHeight="1">
      <c r="A6" s="31" t="s">
        <v>0</v>
      </c>
      <c r="B6" s="32" t="s">
        <v>69</v>
      </c>
      <c r="C6" s="33" t="s">
        <v>70</v>
      </c>
    </row>
    <row r="7" spans="1:3" ht="14.25" customHeight="1">
      <c r="A7" s="34" t="s">
        <v>1</v>
      </c>
      <c r="B7" s="32" t="s">
        <v>71</v>
      </c>
      <c r="C7" s="33" t="s">
        <v>72</v>
      </c>
    </row>
    <row r="8" spans="1:3" ht="14.25" customHeight="1">
      <c r="A8" s="34" t="s">
        <v>2</v>
      </c>
      <c r="B8" s="32" t="s">
        <v>71</v>
      </c>
      <c r="C8" s="33" t="s">
        <v>73</v>
      </c>
    </row>
    <row r="9" spans="1:3" ht="14.25" customHeight="1">
      <c r="A9" s="34" t="s">
        <v>3</v>
      </c>
      <c r="B9" s="32" t="s">
        <v>71</v>
      </c>
      <c r="C9" s="33" t="s">
        <v>74</v>
      </c>
    </row>
    <row r="10" spans="1:3" ht="14.25" customHeight="1">
      <c r="A10" s="35" t="s">
        <v>4</v>
      </c>
      <c r="B10" s="36" t="s">
        <v>69</v>
      </c>
      <c r="C10" s="37" t="s">
        <v>75</v>
      </c>
    </row>
    <row r="11" spans="1:3" ht="14.25" customHeight="1"/>
    <row r="12" spans="1:3" ht="14.25" customHeight="1">
      <c r="A12" s="25" t="s">
        <v>76</v>
      </c>
      <c r="B12" s="26" t="s">
        <v>65</v>
      </c>
      <c r="C12" s="27"/>
    </row>
    <row r="13" spans="1:3" ht="14.25" customHeight="1">
      <c r="A13" s="28" t="s">
        <v>66</v>
      </c>
      <c r="B13" s="29" t="s">
        <v>67</v>
      </c>
      <c r="C13" s="30" t="s">
        <v>68</v>
      </c>
    </row>
    <row r="14" spans="1:3" ht="14.25" customHeight="1">
      <c r="A14" s="31" t="s">
        <v>38</v>
      </c>
      <c r="B14" s="32" t="s">
        <v>69</v>
      </c>
      <c r="C14" s="33" t="s">
        <v>108</v>
      </c>
    </row>
    <row r="15" spans="1:3" ht="14.25" customHeight="1">
      <c r="A15" s="57" t="s">
        <v>39</v>
      </c>
      <c r="B15" s="32" t="s">
        <v>71</v>
      </c>
      <c r="C15" s="33" t="s">
        <v>110</v>
      </c>
    </row>
    <row r="16" spans="1:3" ht="14.25" customHeight="1">
      <c r="A16" s="38" t="s">
        <v>93</v>
      </c>
      <c r="B16" s="36" t="s">
        <v>69</v>
      </c>
      <c r="C16" s="37" t="s">
        <v>109</v>
      </c>
    </row>
    <row r="17" spans="1:3" ht="14.25" customHeight="1"/>
    <row r="18" spans="1:3" ht="14.25" customHeight="1">
      <c r="A18" s="25" t="s">
        <v>106</v>
      </c>
      <c r="B18" s="26" t="s">
        <v>65</v>
      </c>
      <c r="C18" s="27"/>
    </row>
    <row r="19" spans="1:3" ht="14.25" customHeight="1">
      <c r="A19" s="28" t="s">
        <v>66</v>
      </c>
      <c r="B19" s="29" t="s">
        <v>67</v>
      </c>
      <c r="C19" s="30" t="s">
        <v>68</v>
      </c>
    </row>
    <row r="20" spans="1:3" ht="14.25" customHeight="1">
      <c r="A20" s="31" t="s">
        <v>94</v>
      </c>
      <c r="B20" s="32" t="s">
        <v>69</v>
      </c>
      <c r="C20" s="33" t="s">
        <v>107</v>
      </c>
    </row>
    <row r="21" spans="1:3" ht="14.25" customHeight="1">
      <c r="A21" s="57" t="s">
        <v>95</v>
      </c>
      <c r="B21" s="32" t="s">
        <v>71</v>
      </c>
      <c r="C21" s="33" t="s">
        <v>108</v>
      </c>
    </row>
    <row r="22" spans="1:3" ht="14.25" customHeight="1">
      <c r="A22" s="38" t="s">
        <v>96</v>
      </c>
      <c r="B22" s="36" t="s">
        <v>69</v>
      </c>
      <c r="C22" s="37" t="s">
        <v>111</v>
      </c>
    </row>
    <row r="23" spans="1:3" ht="14.25" customHeight="1"/>
    <row r="24" spans="1:3" ht="14.25" customHeight="1">
      <c r="A24" s="25" t="s">
        <v>112</v>
      </c>
      <c r="B24" s="26" t="s">
        <v>65</v>
      </c>
      <c r="C24" s="27"/>
    </row>
    <row r="25" spans="1:3" ht="14.25" customHeight="1">
      <c r="A25" s="28" t="s">
        <v>66</v>
      </c>
      <c r="B25" s="29" t="s">
        <v>67</v>
      </c>
      <c r="C25" s="30" t="s">
        <v>68</v>
      </c>
    </row>
    <row r="26" spans="1:3" ht="14.25" customHeight="1">
      <c r="A26" s="31" t="s">
        <v>113</v>
      </c>
      <c r="B26" s="32" t="s">
        <v>69</v>
      </c>
      <c r="C26" s="33" t="s">
        <v>114</v>
      </c>
    </row>
    <row r="27" spans="1:3" ht="14.25" customHeight="1">
      <c r="A27" s="57" t="s">
        <v>115</v>
      </c>
      <c r="B27" s="32" t="s">
        <v>116</v>
      </c>
      <c r="C27" s="33" t="s">
        <v>117</v>
      </c>
    </row>
    <row r="28" spans="1:3" ht="14.25" customHeight="1">
      <c r="A28" s="38" t="s">
        <v>105</v>
      </c>
      <c r="B28" s="36" t="s">
        <v>116</v>
      </c>
      <c r="C28" s="37" t="s">
        <v>118</v>
      </c>
    </row>
    <row r="29" spans="1:3" ht="14.25" customHeight="1"/>
    <row r="30" spans="1:3" ht="14.25" customHeight="1">
      <c r="A30" s="39" t="s">
        <v>77</v>
      </c>
      <c r="B30" s="40" t="s">
        <v>78</v>
      </c>
      <c r="C30" s="41"/>
    </row>
    <row r="31" spans="1:3" ht="14.25" customHeight="1">
      <c r="A31" s="42" t="s">
        <v>66</v>
      </c>
      <c r="B31" s="43" t="s">
        <v>67</v>
      </c>
      <c r="C31" s="44" t="s">
        <v>68</v>
      </c>
    </row>
    <row r="32" spans="1:3" ht="14.25" customHeight="1">
      <c r="A32" s="45" t="s">
        <v>38</v>
      </c>
      <c r="B32" s="32" t="s">
        <v>69</v>
      </c>
      <c r="C32" s="32" t="s">
        <v>79</v>
      </c>
    </row>
    <row r="33" spans="1:3" ht="14.25" customHeight="1">
      <c r="A33" s="46" t="s">
        <v>0</v>
      </c>
      <c r="B33" s="32" t="s">
        <v>69</v>
      </c>
      <c r="C33" s="32" t="s">
        <v>80</v>
      </c>
    </row>
    <row r="34" spans="1:3" ht="14.25" customHeight="1">
      <c r="A34" s="46" t="s">
        <v>58</v>
      </c>
      <c r="B34" s="32" t="s">
        <v>81</v>
      </c>
      <c r="C34" s="32" t="s">
        <v>82</v>
      </c>
    </row>
    <row r="35" spans="1:3" ht="14.25" customHeight="1">
      <c r="A35" s="47" t="s">
        <v>59</v>
      </c>
      <c r="B35" s="59" t="s">
        <v>81</v>
      </c>
      <c r="C35" s="36" t="s">
        <v>83</v>
      </c>
    </row>
    <row r="36" spans="1:3" ht="14.25" customHeight="1"/>
    <row r="37" spans="1:3" ht="14.25" customHeight="1">
      <c r="A37" s="39" t="s">
        <v>84</v>
      </c>
      <c r="B37" s="40" t="s">
        <v>78</v>
      </c>
      <c r="C37" s="41"/>
    </row>
    <row r="38" spans="1:3" ht="14.25" customHeight="1">
      <c r="A38" s="42" t="s">
        <v>66</v>
      </c>
      <c r="B38" s="43" t="s">
        <v>67</v>
      </c>
      <c r="C38" s="44" t="s">
        <v>68</v>
      </c>
    </row>
    <row r="39" spans="1:3" ht="14.25" customHeight="1">
      <c r="A39" s="45" t="s">
        <v>38</v>
      </c>
      <c r="B39" s="32" t="s">
        <v>69</v>
      </c>
      <c r="C39" s="32" t="s">
        <v>79</v>
      </c>
    </row>
    <row r="40" spans="1:3" ht="14.25" customHeight="1">
      <c r="A40" s="46" t="s">
        <v>0</v>
      </c>
      <c r="B40" s="32" t="s">
        <v>69</v>
      </c>
      <c r="C40" s="32" t="s">
        <v>80</v>
      </c>
    </row>
    <row r="41" spans="1:3" ht="14.25" customHeight="1">
      <c r="A41" s="46" t="s">
        <v>60</v>
      </c>
      <c r="B41" s="32" t="s">
        <v>81</v>
      </c>
      <c r="C41" s="32" t="s">
        <v>82</v>
      </c>
    </row>
    <row r="42" spans="1:3" ht="14.25" customHeight="1">
      <c r="A42" s="47" t="s">
        <v>61</v>
      </c>
      <c r="B42" s="36" t="s">
        <v>69</v>
      </c>
      <c r="C42" s="36" t="s">
        <v>85</v>
      </c>
    </row>
    <row r="43" spans="1:3" ht="14.25" customHeight="1"/>
    <row r="44" spans="1:3" ht="14.25" customHeight="1">
      <c r="A44" s="39" t="s">
        <v>86</v>
      </c>
      <c r="B44" s="40" t="s">
        <v>78</v>
      </c>
      <c r="C44" s="41"/>
    </row>
    <row r="45" spans="1:3" ht="14.25" customHeight="1">
      <c r="A45" s="42" t="s">
        <v>66</v>
      </c>
      <c r="B45" s="43" t="s">
        <v>67</v>
      </c>
      <c r="C45" s="44" t="s">
        <v>68</v>
      </c>
    </row>
    <row r="46" spans="1:3" ht="14.25" customHeight="1">
      <c r="A46" s="48" t="s">
        <v>38</v>
      </c>
      <c r="B46" s="49" t="s">
        <v>69</v>
      </c>
      <c r="C46" s="50" t="s">
        <v>79</v>
      </c>
    </row>
    <row r="47" spans="1:3" ht="14.25" customHeight="1">
      <c r="A47" s="51" t="s">
        <v>0</v>
      </c>
      <c r="B47" s="49" t="s">
        <v>69</v>
      </c>
      <c r="C47" s="32" t="s">
        <v>80</v>
      </c>
    </row>
    <row r="48" spans="1:3" ht="14.25" customHeight="1">
      <c r="A48" s="52" t="s">
        <v>87</v>
      </c>
      <c r="B48" s="53" t="s">
        <v>69</v>
      </c>
      <c r="C48" s="54" t="s">
        <v>88</v>
      </c>
    </row>
    <row r="49" spans="1:1" ht="14.25" customHeight="1"/>
    <row r="50" spans="1:1" ht="14.25" customHeight="1">
      <c r="A50" s="55" t="s">
        <v>89</v>
      </c>
    </row>
    <row r="51" spans="1:1" ht="14.25" customHeight="1">
      <c r="A51" s="55" t="s">
        <v>90</v>
      </c>
    </row>
    <row r="52" spans="1:1" ht="14.25" customHeight="1"/>
    <row r="53" spans="1:1" ht="14.25" customHeight="1"/>
    <row r="54" spans="1:1" ht="14.25" customHeight="1"/>
    <row r="55" spans="1:1" ht="14.25" customHeight="1"/>
    <row r="56" spans="1:1" ht="14.25" customHeight="1"/>
    <row r="57" spans="1:1" ht="14.25" customHeight="1"/>
    <row r="58" spans="1:1" ht="14.25" customHeight="1"/>
    <row r="59" spans="1:1" ht="14.25" customHeight="1"/>
    <row r="60" spans="1:1" ht="14.25" customHeight="1"/>
    <row r="61" spans="1:1" ht="14.25" customHeight="1"/>
    <row r="62" spans="1:1" ht="14.25" customHeight="1"/>
    <row r="63" spans="1:1" ht="14.25" customHeight="1"/>
    <row r="64" spans="1: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83A37-62B7-4A70-AB5C-913FBA848898}">
  <dimension ref="A1:V51"/>
  <sheetViews>
    <sheetView topLeftCell="A6" workbookViewId="0">
      <selection activeCell="D8" sqref="D8"/>
    </sheetView>
  </sheetViews>
  <sheetFormatPr baseColWidth="10" defaultRowHeight="14.4"/>
  <cols>
    <col min="1" max="1" width="9" customWidth="1"/>
    <col min="2" max="2" width="15.44140625" customWidth="1"/>
    <col min="3" max="3" width="20.109375" customWidth="1"/>
    <col min="4" max="4" width="18.77734375" customWidth="1"/>
    <col min="8" max="8" width="22.77734375" customWidth="1"/>
    <col min="9" max="9" width="12.77734375" customWidth="1"/>
  </cols>
  <sheetData>
    <row r="1" spans="1:22">
      <c r="A1" s="129" t="s">
        <v>126</v>
      </c>
      <c r="B1" s="130"/>
      <c r="C1" s="130"/>
      <c r="D1" s="130"/>
      <c r="E1" s="130"/>
      <c r="F1" s="130"/>
      <c r="G1" s="130"/>
      <c r="H1" s="130"/>
      <c r="I1" s="130"/>
      <c r="J1" s="130"/>
      <c r="K1" s="130"/>
      <c r="L1" s="130"/>
      <c r="M1" s="130"/>
      <c r="N1" s="130"/>
      <c r="O1" s="130"/>
      <c r="P1" s="130"/>
      <c r="Q1" s="130"/>
      <c r="R1" s="130"/>
      <c r="S1" s="130"/>
      <c r="T1" s="130"/>
      <c r="U1" s="130"/>
      <c r="V1" s="131"/>
    </row>
    <row r="2" spans="1:22">
      <c r="A2" s="118"/>
      <c r="B2" s="124"/>
      <c r="C2" s="124"/>
      <c r="D2" s="124"/>
      <c r="E2" s="124"/>
      <c r="F2" s="124"/>
      <c r="G2" s="124"/>
      <c r="H2" s="124"/>
      <c r="I2" s="124"/>
      <c r="J2" s="124"/>
      <c r="K2" s="124"/>
      <c r="L2" s="124"/>
      <c r="M2" s="124"/>
      <c r="N2" s="124"/>
      <c r="O2" s="124"/>
      <c r="P2" s="124"/>
      <c r="Q2" s="124"/>
      <c r="R2" s="124"/>
      <c r="S2" s="124"/>
      <c r="T2" s="124"/>
      <c r="U2" s="124"/>
      <c r="V2" s="132"/>
    </row>
    <row r="3" spans="1:22">
      <c r="A3" s="118"/>
      <c r="B3" s="124"/>
      <c r="C3" s="124"/>
      <c r="D3" s="124"/>
      <c r="E3" s="124"/>
      <c r="F3" s="124"/>
      <c r="G3" s="124"/>
      <c r="H3" s="124"/>
      <c r="I3" s="124"/>
      <c r="J3" s="124"/>
      <c r="K3" s="124"/>
      <c r="L3" s="124"/>
      <c r="M3" s="124"/>
      <c r="N3" s="124"/>
      <c r="O3" s="124"/>
      <c r="P3" s="124"/>
      <c r="Q3" s="124"/>
      <c r="R3" s="124"/>
      <c r="S3" s="124"/>
      <c r="T3" s="124"/>
      <c r="U3" s="124"/>
      <c r="V3" s="132"/>
    </row>
    <row r="4" spans="1:22" ht="15" thickBot="1">
      <c r="A4" s="133"/>
      <c r="B4" s="134"/>
      <c r="C4" s="134"/>
      <c r="D4" s="134"/>
      <c r="E4" s="134"/>
      <c r="F4" s="134"/>
      <c r="G4" s="134"/>
      <c r="H4" s="134"/>
      <c r="I4" s="134"/>
      <c r="J4" s="134"/>
      <c r="K4" s="134"/>
      <c r="L4" s="134"/>
      <c r="M4" s="134"/>
      <c r="N4" s="134"/>
      <c r="O4" s="134"/>
      <c r="P4" s="134"/>
      <c r="Q4" s="134"/>
      <c r="R4" s="134"/>
      <c r="S4" s="134"/>
      <c r="T4" s="134"/>
      <c r="U4" s="134"/>
      <c r="V4" s="135"/>
    </row>
    <row r="5" spans="1:22" ht="15" thickBot="1">
      <c r="A5" s="61"/>
      <c r="B5" s="61"/>
      <c r="C5" s="61"/>
      <c r="D5" s="61"/>
      <c r="E5" s="61"/>
      <c r="F5" s="61"/>
      <c r="G5" s="61"/>
      <c r="H5" s="61"/>
      <c r="I5" s="61"/>
      <c r="J5" s="61"/>
      <c r="K5" s="61"/>
      <c r="L5" s="61"/>
      <c r="M5" s="61"/>
      <c r="N5" s="61"/>
      <c r="O5" s="61"/>
      <c r="P5" s="61"/>
      <c r="Q5" s="61"/>
      <c r="R5" s="61"/>
      <c r="S5" s="61"/>
      <c r="T5" s="71"/>
      <c r="U5" s="71"/>
      <c r="V5" s="71"/>
    </row>
    <row r="6" spans="1:22" ht="15" thickBot="1">
      <c r="A6" s="61"/>
      <c r="B6" s="136" t="s">
        <v>119</v>
      </c>
      <c r="C6" s="137"/>
      <c r="D6" s="138"/>
      <c r="E6" s="61"/>
      <c r="F6" s="61"/>
      <c r="G6" s="139" t="s">
        <v>120</v>
      </c>
      <c r="H6" s="140"/>
      <c r="I6" s="140"/>
      <c r="J6" s="140"/>
      <c r="K6" s="141"/>
      <c r="L6" s="61"/>
      <c r="M6" s="61"/>
      <c r="N6" s="61"/>
      <c r="O6" s="61"/>
      <c r="P6" s="61"/>
      <c r="Q6" s="61"/>
      <c r="R6" s="61"/>
      <c r="S6" s="61"/>
      <c r="T6" s="71"/>
      <c r="U6" s="71"/>
      <c r="V6" s="71"/>
    </row>
    <row r="7" spans="1:22" ht="51.6" customHeight="1" thickBot="1">
      <c r="A7" s="64"/>
      <c r="B7" s="62" t="s">
        <v>121</v>
      </c>
      <c r="C7" s="62" t="s">
        <v>0</v>
      </c>
      <c r="D7" s="63" t="s">
        <v>38</v>
      </c>
      <c r="E7" s="64"/>
      <c r="F7" s="64"/>
      <c r="G7" s="65" t="s">
        <v>122</v>
      </c>
      <c r="H7" s="66" t="s">
        <v>123</v>
      </c>
      <c r="I7" s="66" t="s">
        <v>124</v>
      </c>
      <c r="J7" s="66" t="s">
        <v>74</v>
      </c>
      <c r="K7" s="67" t="s">
        <v>125</v>
      </c>
      <c r="L7" s="61"/>
      <c r="M7" s="61"/>
      <c r="N7" s="64"/>
      <c r="O7" s="64"/>
      <c r="P7" s="64"/>
      <c r="Q7" s="64"/>
      <c r="R7" s="64"/>
      <c r="S7" s="64"/>
      <c r="T7" s="72"/>
      <c r="U7" s="72"/>
      <c r="V7" s="72"/>
    </row>
    <row r="8" spans="1:22" ht="43.2" customHeight="1" thickBot="1">
      <c r="A8" s="61"/>
      <c r="B8" s="14">
        <v>44739</v>
      </c>
      <c r="C8" s="4">
        <v>129208</v>
      </c>
      <c r="D8" s="4">
        <v>1202</v>
      </c>
      <c r="E8" s="61"/>
      <c r="F8" s="61"/>
      <c r="G8" s="69" t="str">
        <f xml:space="preserve"> IFERROR(VLOOKUP(DRP_V1!C8,Article!A:F,2,FALSE), "SKU non trouvé")</f>
        <v>COUDE PVC</v>
      </c>
      <c r="H8" s="70" t="str">
        <f>IFERROR(VLOOKUP(C8,Article!A:F,3,FALSE), "SKU non trouvé")</f>
        <v>SALLE DE BAINS</v>
      </c>
      <c r="I8" s="70" t="str">
        <f>IFERROR(VLOOKUP(D8,Shop!A:C,2), "Location ID Non trouvé")</f>
        <v>BAYONNE</v>
      </c>
      <c r="J8" s="70" t="str">
        <f>IFERROR(VLOOKUP(C8,Article!A:F,4,FALSE),"SKU non trouvé")</f>
        <v>UVC</v>
      </c>
      <c r="K8" s="68">
        <f>IFERROR(VLOOKUP(C8,Article!A:F,5,FALSE),"SKU non trouvé")</f>
        <v>14</v>
      </c>
      <c r="L8" s="61"/>
      <c r="M8" s="61"/>
      <c r="N8" s="61"/>
      <c r="O8" s="61"/>
      <c r="P8" s="61"/>
      <c r="Q8" s="61"/>
      <c r="R8" s="61"/>
      <c r="S8" s="61"/>
      <c r="T8" s="71"/>
      <c r="U8" s="71"/>
      <c r="V8" s="71"/>
    </row>
    <row r="9" spans="1:22">
      <c r="A9" s="61"/>
      <c r="B9" s="61"/>
      <c r="C9" s="61"/>
      <c r="D9" s="61"/>
      <c r="E9" s="61"/>
      <c r="F9" s="61"/>
      <c r="G9" s="61"/>
      <c r="H9" s="61"/>
      <c r="I9" s="61"/>
      <c r="J9" s="61"/>
      <c r="K9" s="61"/>
      <c r="L9" s="61"/>
      <c r="M9" s="61"/>
      <c r="N9" s="61"/>
      <c r="O9" s="61"/>
      <c r="P9" s="61"/>
      <c r="Q9" s="61"/>
      <c r="R9" s="61"/>
      <c r="S9" s="61"/>
      <c r="T9" s="71"/>
      <c r="U9" s="71"/>
      <c r="V9" s="71"/>
    </row>
    <row r="10" spans="1:22" ht="15" thickBot="1">
      <c r="A10" s="73"/>
      <c r="B10" s="73"/>
      <c r="C10" s="73"/>
      <c r="D10" s="73"/>
      <c r="E10" s="73"/>
      <c r="F10" s="73"/>
      <c r="H10" s="73"/>
      <c r="I10" s="73"/>
      <c r="J10" s="73"/>
      <c r="K10" s="73"/>
      <c r="L10" s="73"/>
      <c r="M10" s="73"/>
      <c r="N10" s="73"/>
      <c r="O10" s="73"/>
      <c r="P10" s="73"/>
      <c r="Q10" s="73"/>
      <c r="R10" s="73"/>
      <c r="S10" s="73"/>
      <c r="T10" s="74"/>
      <c r="U10" s="74"/>
      <c r="V10" s="74"/>
    </row>
    <row r="11" spans="1:22" ht="15" thickBot="1">
      <c r="A11" s="73"/>
      <c r="B11" s="142" t="s">
        <v>127</v>
      </c>
      <c r="C11" s="143"/>
      <c r="D11" s="144"/>
      <c r="E11" s="73"/>
      <c r="F11" s="73"/>
      <c r="G11" s="116" t="s">
        <v>128</v>
      </c>
      <c r="H11" s="117"/>
      <c r="I11" s="75"/>
      <c r="J11" s="75"/>
      <c r="K11" s="75"/>
      <c r="L11" s="75"/>
      <c r="M11" s="75"/>
      <c r="N11" s="75"/>
      <c r="O11" s="75"/>
      <c r="P11" s="76"/>
      <c r="Q11" s="73"/>
      <c r="R11" s="73"/>
      <c r="S11" s="73"/>
      <c r="T11" s="73"/>
      <c r="U11" s="73"/>
      <c r="V11" s="74"/>
    </row>
    <row r="12" spans="1:22" ht="29.4" thickBot="1">
      <c r="A12" s="73"/>
      <c r="B12" s="77" t="s">
        <v>129</v>
      </c>
      <c r="C12" s="78" t="s">
        <v>130</v>
      </c>
      <c r="D12" s="79" t="s">
        <v>131</v>
      </c>
      <c r="E12" s="73"/>
      <c r="F12" s="73"/>
      <c r="G12" s="118"/>
      <c r="H12" s="119"/>
      <c r="I12" s="80">
        <f>B8</f>
        <v>44739</v>
      </c>
      <c r="J12" s="80">
        <f t="shared" ref="J12:O12" si="0">I12+7</f>
        <v>44746</v>
      </c>
      <c r="K12" s="80">
        <f t="shared" si="0"/>
        <v>44753</v>
      </c>
      <c r="L12" s="80">
        <f t="shared" si="0"/>
        <v>44760</v>
      </c>
      <c r="M12" s="80">
        <f t="shared" si="0"/>
        <v>44767</v>
      </c>
      <c r="N12" s="80">
        <f t="shared" si="0"/>
        <v>44774</v>
      </c>
      <c r="O12" s="80">
        <f t="shared" si="0"/>
        <v>44781</v>
      </c>
      <c r="P12" s="80">
        <f>O12+7</f>
        <v>44788</v>
      </c>
      <c r="Q12" s="73"/>
      <c r="R12" s="73"/>
      <c r="S12" s="73"/>
      <c r="T12" s="73"/>
      <c r="U12" s="73"/>
      <c r="V12" s="74"/>
    </row>
    <row r="13" spans="1:22" ht="15" thickBot="1">
      <c r="A13" s="73"/>
      <c r="B13" s="81">
        <f>C13-K8</f>
        <v>44739</v>
      </c>
      <c r="C13" s="82" cm="1">
        <f t="array" ref="C13">INDEX(I12:P12, MATCH(TRUE, IF((I12:P12 &gt;= B8 + K8) * (I19:P19 &gt; 0), TRUE, FALSE), 0))</f>
        <v>44753</v>
      </c>
      <c r="D13" s="83">
        <f>INDEX(I19:P19,MATCH(C13,I12:P12,0))</f>
        <v>60</v>
      </c>
      <c r="E13" s="73"/>
      <c r="F13" s="73"/>
      <c r="G13" s="84" t="s">
        <v>132</v>
      </c>
      <c r="H13" s="85"/>
      <c r="I13" s="86">
        <f>IFERROR(INDEX(Stock_S_Encours!C:C,MATCH(D8&amp;"-"&amp;C8,Stock_S_Encours!D:D,0)), "Combinaison &lt;&lt;SKU,Location ID&gt;&gt; non disponible")</f>
        <v>74</v>
      </c>
      <c r="J13" s="86"/>
      <c r="K13" s="86"/>
      <c r="L13" s="86"/>
      <c r="M13" s="86"/>
      <c r="N13" s="86"/>
      <c r="O13" s="86"/>
      <c r="P13" s="86"/>
      <c r="Q13" s="73"/>
      <c r="R13" s="73"/>
      <c r="S13" s="73"/>
      <c r="T13" s="73"/>
      <c r="U13" s="73"/>
      <c r="V13" s="74"/>
    </row>
    <row r="14" spans="1:22" ht="15" thickBot="1">
      <c r="A14" s="73"/>
      <c r="B14" s="73"/>
      <c r="C14" s="73"/>
      <c r="D14" s="73"/>
      <c r="E14" s="73"/>
      <c r="F14" s="73"/>
      <c r="G14" s="87" t="s">
        <v>133</v>
      </c>
      <c r="H14" s="88"/>
      <c r="I14" s="86"/>
      <c r="J14" s="86">
        <f>IF(I13+I18+I19-I17&gt;0,I13+I18+I19-I17,0)</f>
        <v>32</v>
      </c>
      <c r="K14" s="90">
        <f>IF((J14+J18+J19)-J17&gt;0,(J14+J18+J19)-J17,0)</f>
        <v>0</v>
      </c>
      <c r="L14" s="90">
        <f>IF(((K14+K18+K19)-K17)&gt;0,(K14+K18+K19)-K17,0)</f>
        <v>0</v>
      </c>
      <c r="M14" s="90">
        <f>IF((L14+L18+L19)-L17&gt;0,(L14+L18+L19)-L17,0)</f>
        <v>0</v>
      </c>
      <c r="N14" s="90">
        <f>IF((M14+M18+M19)-M17&gt;0,(M14+M18+M19)-M17,0)</f>
        <v>0</v>
      </c>
      <c r="O14" s="90">
        <f>IF((N14+N18+N19)-N17&gt;0,(N14+N18+N19)-N17,0)</f>
        <v>0</v>
      </c>
      <c r="P14" s="91">
        <f>IF((O14+O18+O19)-O17&gt;0,(O14+O18+O19)-O17,0)</f>
        <v>0</v>
      </c>
      <c r="Q14" s="73"/>
      <c r="R14" s="73"/>
      <c r="S14" s="73"/>
      <c r="T14" s="73"/>
      <c r="U14" s="73"/>
      <c r="V14" s="74"/>
    </row>
    <row r="15" spans="1:22" ht="15" thickBot="1">
      <c r="A15" s="73"/>
      <c r="B15" s="73"/>
      <c r="C15" s="73"/>
      <c r="D15" s="73"/>
      <c r="E15" s="73"/>
      <c r="F15" s="73"/>
      <c r="G15" s="87" t="s">
        <v>134</v>
      </c>
      <c r="H15" s="88"/>
      <c r="I15" s="86">
        <f>IF((I13+I18)-I17&lt;0,(I13+I18)-I17,0)</f>
        <v>0</v>
      </c>
      <c r="J15" s="89">
        <f>IF((J14+J18)-J17&lt;0,(J14+J18)-J17,0)</f>
        <v>-9</v>
      </c>
      <c r="K15" s="89">
        <f t="shared" ref="K15" si="1">IF((K14+K18)-K17&lt;0,(K1+K18)-K17,0)</f>
        <v>-60</v>
      </c>
      <c r="L15" s="89">
        <f>IF((L14+L18)-L17&lt;0,(L14+L18)-L17,0)</f>
        <v>-103</v>
      </c>
      <c r="M15" s="89">
        <f t="shared" ref="M15:P15" si="2">IF((M14+M18)-M17&lt;0,(M14+M18)-M17,0)</f>
        <v>-84</v>
      </c>
      <c r="N15" s="89">
        <f t="shared" si="2"/>
        <v>-42</v>
      </c>
      <c r="O15" s="89">
        <f t="shared" si="2"/>
        <v>-98</v>
      </c>
      <c r="P15" s="89">
        <f t="shared" si="2"/>
        <v>-109</v>
      </c>
      <c r="Q15" s="73"/>
      <c r="R15" s="73"/>
      <c r="S15" s="73"/>
      <c r="T15" s="73"/>
      <c r="U15" s="73"/>
      <c r="V15" s="74"/>
    </row>
    <row r="16" spans="1:22" ht="15" thickBot="1">
      <c r="A16" s="73"/>
      <c r="B16" s="73"/>
      <c r="C16" s="73"/>
      <c r="D16" s="73"/>
      <c r="E16" s="73"/>
      <c r="F16" s="73"/>
      <c r="G16" s="87" t="s">
        <v>135</v>
      </c>
      <c r="H16" s="88"/>
      <c r="I16" s="86">
        <f>IF(I14+I13+I18&lt;0,0,IF(I15&lt;0,(1+I15/I17)*7,IF(J15&lt;0,7+(1+J15/J17)*7,IF(K15&lt;0,14+(1+K15/K17)*7,IF(L15&lt;0,21+(1+L15/L17)*7,IF(M15&lt;0,28+(1+M15/M17)*7,IF(N15&lt;0,35+(1+N15/N17)*7,IF(O15&lt;0,42+(1+O15/O17)*7,IF(P15&lt;0,49+(1+P15/P17)*7,56)))))))))</f>
        <v>12.463414634146343</v>
      </c>
      <c r="J16" s="86">
        <f>IF(J14++J18&lt;0,0,IF(J15&lt;0,(1+J15/J17)*7,IF(K15&lt;0,7+(1+K15/K17)*7,IF(L15&lt;0,14+(1+L15/L17)*7,IF(M15&lt;0,21+(1+M15/M17)*7,IF(N15&lt;0,28+(1+N15/N17)*7,IF(O15&lt;0,35+(1+O15/O17)*7,IF(P15&lt;0,42+(1+P15/P17)*7,49))))))))</f>
        <v>5.4634146341463419</v>
      </c>
      <c r="K16" s="86">
        <f>IF(K14++K18&lt;0,0,IF(K15&lt;0,(1+K15/K17)*7,IF(L15&lt;0,7+(1+L15/L17)*7,IF(M15&lt;0,14+(1+M15/M17)*7,IF(N15&lt;0,21+(1+N15/N17)*7,IF(O15&lt;0,28+(1+O15/O17)*7,IF(P15&lt;0,35+(1+P15/P17)*7,IF(Q15&lt;0,42+(1+Q15/Q17)*7,49))))))))</f>
        <v>0</v>
      </c>
      <c r="L16" s="86">
        <f>IF(L14++L18&lt;0,0,IF(L15&lt;0,(1+L15/L17)*7,IF(M15&lt;0,7+(1+M15/M17)*7,IF(N15&lt;0,14+(1+N15/N17)*7,IF(O15&lt;0,21+(1+O15/O17)*7,IF(P15&lt;0,28+(1+P15/P17)*7,IF(Q15&lt;0,35+(1+Q15/Q17)*7,IF(R15&lt;0,42+(1+R15/R17)*7,49))))))))</f>
        <v>0</v>
      </c>
      <c r="M16" s="86">
        <f t="shared" ref="M16:P16" si="3">IF(M14++M18&lt;0,0,IF(M15&lt;0,(1+M15/M17)*7,IF(N15&lt;0,7+(1+N15/N17)*7,IF(O15&lt;0,14+(1+O15/O17)*7,IF(P15&lt;0,21+(1+P15/P17)*7,IF(Q15&lt;0,28+(1+Q15/Q17)*7,IF(R15&lt;0,35+(1+R15/R17)*7,IF(S15&lt;0,42+(1+S15/S17)*7,49))))))))</f>
        <v>0</v>
      </c>
      <c r="N16" s="86">
        <f t="shared" si="3"/>
        <v>0</v>
      </c>
      <c r="O16" s="86">
        <f t="shared" si="3"/>
        <v>0</v>
      </c>
      <c r="P16" s="86">
        <f t="shared" si="3"/>
        <v>0</v>
      </c>
      <c r="Q16" s="73"/>
      <c r="R16" s="73"/>
      <c r="S16" s="73"/>
      <c r="T16" s="73"/>
      <c r="U16" s="73"/>
      <c r="V16" s="74"/>
    </row>
    <row r="17" spans="1:22" ht="15" thickBot="1">
      <c r="A17" s="73"/>
      <c r="B17" s="73"/>
      <c r="C17" s="73"/>
      <c r="D17" s="73"/>
      <c r="E17" s="73"/>
      <c r="F17" s="73"/>
      <c r="G17" s="87" t="s">
        <v>136</v>
      </c>
      <c r="H17" s="88"/>
      <c r="I17" s="86">
        <f>IFERROR(INDEX(Forecast!D:D,MATCH(D8&amp;"-"&amp;C8&amp;"-"&amp;INT(B8),Forecast!E:E,0)),"Pas de Demande Prévu ")</f>
        <v>80</v>
      </c>
      <c r="J17" s="90">
        <f>IFERROR(INDEX(Forecast!D:D,MATCH(D8&amp;"-"&amp;C8&amp;"-"&amp;INT(J12),Forecast!E:E,0)),0)</f>
        <v>41</v>
      </c>
      <c r="K17" s="90">
        <f>IFERROR(INDEX(Forecast!D:D,MATCH(D8&amp;"-"&amp;C8&amp;"-"&amp;INT(K12),Forecast!E:E,0)),0)</f>
        <v>60</v>
      </c>
      <c r="L17" s="90">
        <f>IFERROR(INDEX(Forecast!D:D,MATCH(D8&amp;"-"&amp;C8&amp;"-"&amp;INT(L12),Forecast!E:E,0)),0)</f>
        <v>103</v>
      </c>
      <c r="M17" s="90">
        <f>IFERROR(INDEX(Forecast!D:D,MATCH(D8&amp;"-"&amp;C8&amp;"-"&amp;INT(M12),Forecast!E:E,0)),0)</f>
        <v>84</v>
      </c>
      <c r="N17" s="90">
        <f>IFERROR(INDEX(Forecast!D:D,MATCH(D8&amp;"-"&amp;C8&amp;"-"&amp;INT(N12),Forecast!E:E,0)),0)</f>
        <v>42</v>
      </c>
      <c r="O17" s="90">
        <f>IFERROR(INDEX(Forecast!D:D,MATCH(D8&amp;"-"&amp;C8&amp;"-"&amp;INT(O12),Forecast!E:E,0)),0)</f>
        <v>98</v>
      </c>
      <c r="P17" s="91">
        <f>IFERROR(INDEX(Forecast!D:D,MATCH(D8&amp;"-"&amp;C8&amp;"-"&amp;INT(P12),Forecast!E:E,0)),0)</f>
        <v>109</v>
      </c>
      <c r="Q17" s="73"/>
      <c r="R17" s="73"/>
      <c r="S17" s="73"/>
      <c r="T17" s="73"/>
      <c r="U17" s="73"/>
      <c r="V17" s="74"/>
    </row>
    <row r="18" spans="1:22" ht="15" thickBot="1">
      <c r="A18" s="73"/>
      <c r="B18" s="73"/>
      <c r="C18" s="73"/>
      <c r="D18" s="73"/>
      <c r="E18" s="73"/>
      <c r="F18" s="73"/>
      <c r="G18" s="87" t="s">
        <v>137</v>
      </c>
      <c r="H18" s="88"/>
      <c r="I18" s="86">
        <f>IFERROR(INDEX(Commandes_EnCours!D:D,MATCH(D8&amp;"-"&amp;C8&amp;"-"&amp;INT(B8),Commandes_EnCours!E:E,0)),0)</f>
        <v>38</v>
      </c>
      <c r="J18" s="90">
        <f>IFERROR(INDEX(Commandes_EnCours!D:D,MATCH(D8&amp;"-"&amp;C8&amp;"-"&amp;INT(J12),Commandes_EnCours!E:E,0)),0)</f>
        <v>0</v>
      </c>
      <c r="K18" s="90">
        <f>IFERROR(INDEX(Commandes_EnCours!D:D,MATCH(D8&amp;"-"&amp;C8&amp;"-"&amp;INT(K12),Commandes_EnCours!E:E,0)),0)</f>
        <v>0</v>
      </c>
      <c r="L18" s="90">
        <f>IFERROR(INDEX(Commandes_EnCours!D:D,MATCH(D8&amp;"-"&amp;C8&amp;"-"&amp;INT(L12),Commandes_EnCours!E:E,0)),0)</f>
        <v>0</v>
      </c>
      <c r="M18" s="90">
        <f>IFERROR(INDEX(Commandes_EnCours!D:D,MATCH(D8&amp;"-"&amp;C8&amp;"-"&amp;INT(M12),Commandes_EnCours!E:E,0)),0)</f>
        <v>0</v>
      </c>
      <c r="N18" s="90">
        <f>IFERROR(INDEX(Commandes_EnCours!D:D,MATCH(D8&amp;"-"&amp;C8&amp;"-"&amp;INT(N12),Commandes_EnCours!E:E,0)),0)</f>
        <v>0</v>
      </c>
      <c r="O18" s="90">
        <f>IFERROR(INDEX(Commandes_EnCours!D:D,MATCH(D8&amp;"-"&amp;C8&amp;"-"&amp;INT(O12),Commandes_EnCours!E:E,0)),0)</f>
        <v>0</v>
      </c>
      <c r="P18" s="91">
        <f>IFERROR(INDEX(Commandes_EnCours!D:D,MATCH(D8&amp;"-"&amp;C8&amp;"-"&amp;INT(P12),Commandes_EnCours!E:E,0)),0)</f>
        <v>0</v>
      </c>
      <c r="Q18" s="73"/>
      <c r="R18" s="73"/>
      <c r="S18" s="73"/>
      <c r="T18" s="73"/>
      <c r="U18" s="73"/>
      <c r="V18" s="74"/>
    </row>
    <row r="19" spans="1:22" ht="15" thickBot="1">
      <c r="A19" s="73"/>
      <c r="B19" s="73"/>
      <c r="C19" s="73"/>
      <c r="D19" s="73"/>
      <c r="E19" s="73"/>
      <c r="F19" s="73"/>
      <c r="G19" s="92" t="s">
        <v>138</v>
      </c>
      <c r="H19" s="93"/>
      <c r="I19" s="86">
        <f t="shared" ref="I19:P19" si="4">ABS(I15)</f>
        <v>0</v>
      </c>
      <c r="J19" s="94">
        <f t="shared" si="4"/>
        <v>9</v>
      </c>
      <c r="K19" s="94">
        <f t="shared" si="4"/>
        <v>60</v>
      </c>
      <c r="L19" s="94">
        <f t="shared" si="4"/>
        <v>103</v>
      </c>
      <c r="M19" s="94">
        <f t="shared" si="4"/>
        <v>84</v>
      </c>
      <c r="N19" s="94">
        <f t="shared" si="4"/>
        <v>42</v>
      </c>
      <c r="O19" s="94">
        <f t="shared" si="4"/>
        <v>98</v>
      </c>
      <c r="P19" s="95">
        <f t="shared" si="4"/>
        <v>109</v>
      </c>
      <c r="Q19" s="73"/>
      <c r="R19" s="73"/>
      <c r="S19" s="73"/>
      <c r="T19" s="73"/>
      <c r="U19" s="73"/>
      <c r="V19" s="74"/>
    </row>
    <row r="20" spans="1:22" ht="15" thickBot="1">
      <c r="A20" s="73"/>
      <c r="B20" s="73"/>
      <c r="C20" s="73"/>
      <c r="D20" s="73"/>
      <c r="E20" s="73"/>
      <c r="F20" s="73"/>
      <c r="G20" s="73"/>
      <c r="H20" s="73"/>
      <c r="I20" s="73"/>
      <c r="J20" s="73"/>
      <c r="K20" s="73"/>
      <c r="L20" s="73"/>
      <c r="M20" s="73"/>
      <c r="N20" s="73"/>
      <c r="O20" s="73"/>
      <c r="P20" s="73"/>
      <c r="Q20" s="73"/>
      <c r="R20" s="73"/>
      <c r="S20" s="73"/>
      <c r="T20" s="73"/>
      <c r="U20" s="73"/>
      <c r="V20" s="74"/>
    </row>
    <row r="21" spans="1:22" ht="29.4" thickBot="1">
      <c r="A21" s="73"/>
      <c r="B21" s="73"/>
      <c r="C21" s="73"/>
      <c r="D21" s="73"/>
      <c r="E21" s="73"/>
      <c r="F21" s="73"/>
      <c r="G21" s="79" t="s">
        <v>139</v>
      </c>
      <c r="H21" s="96">
        <f>AVERAGE(I16:P16)</f>
        <v>2.2408536585365857</v>
      </c>
      <c r="I21" s="73"/>
      <c r="J21" s="73"/>
      <c r="K21" s="73"/>
      <c r="L21" s="73"/>
      <c r="M21" s="73"/>
      <c r="N21" s="73"/>
      <c r="O21" s="73"/>
      <c r="P21" s="73"/>
      <c r="Q21" s="73"/>
      <c r="R21" s="73"/>
      <c r="S21" s="73"/>
      <c r="T21" s="73"/>
      <c r="U21" s="73"/>
      <c r="V21" s="74"/>
    </row>
    <row r="22" spans="1:22" ht="29.4" thickBot="1">
      <c r="A22" s="73"/>
      <c r="B22" s="73"/>
      <c r="C22" s="73"/>
      <c r="D22" s="73"/>
      <c r="E22" s="73"/>
      <c r="F22" s="73"/>
      <c r="G22" s="79" t="s">
        <v>140</v>
      </c>
      <c r="H22" s="97">
        <f>(P14-I13)/I13</f>
        <v>-1</v>
      </c>
      <c r="I22" s="73"/>
      <c r="J22" s="73"/>
      <c r="K22" s="73"/>
      <c r="L22" s="73"/>
      <c r="M22" s="73"/>
      <c r="N22" s="73"/>
      <c r="O22" s="73"/>
      <c r="P22" s="73"/>
      <c r="Q22" s="73"/>
      <c r="R22" s="73"/>
      <c r="S22" s="73"/>
      <c r="T22" s="73"/>
      <c r="U22" s="73"/>
      <c r="V22" s="74"/>
    </row>
    <row r="23" spans="1:22">
      <c r="A23" s="73"/>
      <c r="B23" s="73"/>
      <c r="C23" s="73"/>
      <c r="D23" s="73"/>
      <c r="E23" s="73"/>
      <c r="F23" s="73"/>
      <c r="G23" s="73"/>
      <c r="H23" s="73"/>
      <c r="I23" s="73"/>
      <c r="J23" s="73"/>
      <c r="K23" s="73"/>
      <c r="L23" s="73"/>
      <c r="M23" s="73"/>
      <c r="N23" s="73"/>
      <c r="O23" s="73"/>
      <c r="P23" s="73"/>
      <c r="Q23" s="73"/>
      <c r="R23" s="73"/>
      <c r="S23" s="73"/>
      <c r="T23" s="73"/>
      <c r="U23" s="73"/>
      <c r="V23" s="74"/>
    </row>
    <row r="24" spans="1:22">
      <c r="A24" s="73"/>
      <c r="B24" s="73"/>
      <c r="C24" s="73"/>
      <c r="D24" s="73"/>
      <c r="E24" s="73"/>
      <c r="F24" s="73"/>
      <c r="G24" s="73"/>
      <c r="H24" s="73"/>
      <c r="I24" s="73"/>
      <c r="J24" s="73"/>
      <c r="K24" s="73"/>
      <c r="L24" s="73"/>
      <c r="M24" s="73"/>
      <c r="N24" s="73"/>
      <c r="O24" s="73"/>
      <c r="P24" s="73"/>
      <c r="Q24" s="73"/>
      <c r="R24" s="73"/>
      <c r="S24" s="73"/>
      <c r="T24" s="73"/>
      <c r="U24" s="73"/>
      <c r="V24" s="74"/>
    </row>
    <row r="25" spans="1:22">
      <c r="A25" s="73"/>
      <c r="B25" s="73"/>
      <c r="C25" s="73"/>
      <c r="D25" s="73"/>
      <c r="E25" s="73"/>
      <c r="F25" s="73"/>
      <c r="G25" s="73"/>
      <c r="H25" s="73"/>
      <c r="I25" s="73"/>
      <c r="J25" s="73"/>
      <c r="K25" s="73"/>
      <c r="L25" s="73"/>
      <c r="M25" s="73"/>
      <c r="N25" s="73"/>
      <c r="O25" s="73"/>
      <c r="P25" s="73"/>
      <c r="Q25" s="73"/>
      <c r="R25" s="73"/>
      <c r="S25" s="73"/>
      <c r="T25" s="73"/>
      <c r="U25" s="73"/>
      <c r="V25" s="74"/>
    </row>
    <row r="26" spans="1:22">
      <c r="A26" s="73"/>
      <c r="B26" s="73"/>
      <c r="C26" s="73"/>
      <c r="D26" s="73"/>
      <c r="E26" s="73"/>
      <c r="F26" s="73"/>
      <c r="G26" s="73"/>
      <c r="H26" s="73"/>
      <c r="I26" s="73"/>
      <c r="J26" s="73"/>
      <c r="K26" s="73"/>
      <c r="L26" s="73"/>
      <c r="M26" s="73"/>
      <c r="N26" s="73"/>
      <c r="O26" s="73"/>
      <c r="P26" s="73"/>
      <c r="Q26" s="73"/>
      <c r="R26" s="73"/>
      <c r="S26" s="73"/>
      <c r="T26" s="73"/>
      <c r="U26" s="73"/>
      <c r="V26" s="74"/>
    </row>
    <row r="27" spans="1:22">
      <c r="A27" s="73"/>
      <c r="B27" s="73"/>
      <c r="C27" s="73"/>
      <c r="D27" s="73"/>
      <c r="E27" s="74"/>
      <c r="F27" s="74"/>
      <c r="G27" s="73"/>
      <c r="H27" s="74"/>
      <c r="I27" s="73"/>
      <c r="J27" s="73"/>
      <c r="K27" s="73"/>
      <c r="L27" s="73"/>
      <c r="M27" s="73"/>
      <c r="N27" s="73"/>
      <c r="O27" s="73"/>
      <c r="P27" s="73"/>
      <c r="Q27" s="98"/>
      <c r="R27" s="73"/>
      <c r="S27" s="73"/>
      <c r="T27" s="73"/>
      <c r="U27" s="73"/>
      <c r="V27" s="74"/>
    </row>
    <row r="28" spans="1:22">
      <c r="A28" s="73"/>
      <c r="B28" s="73"/>
      <c r="C28" s="73"/>
      <c r="D28" s="73"/>
      <c r="E28" s="73"/>
      <c r="F28" s="73"/>
      <c r="G28" s="73"/>
      <c r="H28" s="73"/>
      <c r="I28" s="73"/>
      <c r="J28" s="73"/>
      <c r="K28" s="73"/>
      <c r="L28" s="73"/>
      <c r="M28" s="73"/>
      <c r="N28" s="73"/>
      <c r="O28" s="73"/>
      <c r="P28" s="73"/>
      <c r="Q28" s="73"/>
      <c r="R28" s="73"/>
      <c r="S28" s="73"/>
      <c r="T28" s="73"/>
      <c r="U28" s="73"/>
      <c r="V28" s="74"/>
    </row>
    <row r="29" spans="1:22">
      <c r="A29" s="73"/>
      <c r="B29" s="73"/>
      <c r="C29" s="73"/>
      <c r="D29" s="73"/>
      <c r="E29" s="73"/>
      <c r="F29" s="73"/>
      <c r="G29" s="73"/>
      <c r="H29" s="73"/>
      <c r="I29" s="73"/>
      <c r="J29" s="73"/>
      <c r="K29" s="73"/>
      <c r="L29" s="73"/>
      <c r="M29" s="73"/>
      <c r="N29" s="73"/>
      <c r="O29" s="73"/>
      <c r="P29" s="73"/>
      <c r="Q29" s="73"/>
      <c r="R29" s="73"/>
      <c r="S29" s="73"/>
      <c r="T29" s="73"/>
      <c r="U29" s="73"/>
      <c r="V29" s="74"/>
    </row>
    <row r="30" spans="1:22">
      <c r="A30" s="73"/>
      <c r="B30" s="73"/>
      <c r="C30" s="73"/>
      <c r="D30" s="73"/>
      <c r="E30" s="73"/>
      <c r="F30" s="73"/>
      <c r="G30" s="73"/>
      <c r="H30" s="73"/>
      <c r="I30" s="73"/>
      <c r="J30" s="73"/>
      <c r="K30" s="73"/>
      <c r="L30" s="73"/>
      <c r="M30" s="73"/>
      <c r="N30" s="73"/>
      <c r="O30" s="73"/>
      <c r="P30" s="73"/>
      <c r="Q30" s="73"/>
      <c r="R30" s="73"/>
      <c r="S30" s="73"/>
      <c r="T30" s="73"/>
      <c r="U30" s="73"/>
      <c r="V30" s="74"/>
    </row>
    <row r="31" spans="1:22">
      <c r="A31" s="73"/>
      <c r="B31" s="73"/>
      <c r="C31" s="73"/>
      <c r="D31" s="73"/>
      <c r="E31" s="73"/>
      <c r="F31" s="73"/>
      <c r="G31" s="73"/>
      <c r="H31" s="73"/>
      <c r="I31" s="73"/>
      <c r="J31" s="73"/>
      <c r="K31" s="73"/>
      <c r="L31" s="73"/>
      <c r="M31" s="73"/>
      <c r="N31" s="73"/>
      <c r="O31" s="73"/>
      <c r="P31" s="73"/>
      <c r="Q31" s="73"/>
      <c r="R31" s="73"/>
      <c r="S31" s="73"/>
      <c r="T31" s="73"/>
      <c r="U31" s="73"/>
      <c r="V31" s="74"/>
    </row>
    <row r="32" spans="1:22">
      <c r="A32" s="73"/>
      <c r="B32" s="73"/>
      <c r="C32" s="73"/>
      <c r="D32" s="73"/>
      <c r="E32" s="73"/>
      <c r="F32" s="73"/>
      <c r="G32" s="73"/>
      <c r="H32" s="73"/>
      <c r="I32" s="73"/>
      <c r="J32" s="73"/>
      <c r="K32" s="73"/>
      <c r="L32" s="73"/>
      <c r="M32" s="73"/>
      <c r="N32" s="73"/>
      <c r="O32" s="73"/>
      <c r="P32" s="73"/>
      <c r="Q32" s="73"/>
      <c r="R32" s="73"/>
      <c r="S32" s="73"/>
      <c r="T32" s="73"/>
      <c r="U32" s="73"/>
      <c r="V32" s="74"/>
    </row>
    <row r="33" spans="1:22">
      <c r="A33" s="73"/>
      <c r="B33" s="73"/>
      <c r="C33" s="73"/>
      <c r="D33" s="73"/>
      <c r="E33" s="73"/>
      <c r="F33" s="73"/>
      <c r="G33" s="73"/>
      <c r="H33" s="73"/>
      <c r="I33" s="73"/>
      <c r="J33" s="73"/>
      <c r="K33" s="73"/>
      <c r="L33" s="73"/>
      <c r="M33" s="73"/>
      <c r="N33" s="73"/>
      <c r="O33" s="73"/>
      <c r="P33" s="73"/>
      <c r="Q33" s="73"/>
      <c r="R33" s="73"/>
      <c r="S33" s="73"/>
      <c r="T33" s="74"/>
      <c r="U33" s="74"/>
      <c r="V33" s="74"/>
    </row>
    <row r="34" spans="1:22">
      <c r="A34" s="73"/>
      <c r="B34" s="73"/>
      <c r="C34" s="73"/>
      <c r="D34" s="73"/>
      <c r="E34" s="73"/>
      <c r="F34" s="73"/>
      <c r="G34" s="73"/>
      <c r="H34" s="73"/>
      <c r="I34" s="73"/>
      <c r="J34" s="73"/>
      <c r="K34" s="73"/>
      <c r="L34" s="73"/>
      <c r="M34" s="73"/>
      <c r="N34" s="73"/>
      <c r="O34" s="73"/>
      <c r="P34" s="73"/>
      <c r="Q34" s="73"/>
      <c r="R34" s="73"/>
      <c r="S34" s="73"/>
      <c r="T34" s="74"/>
      <c r="U34" s="74"/>
      <c r="V34" s="74"/>
    </row>
    <row r="35" spans="1:22">
      <c r="A35" s="73"/>
      <c r="B35" s="73"/>
      <c r="C35" s="73"/>
      <c r="D35" s="73"/>
      <c r="E35" s="73"/>
      <c r="F35" s="73"/>
      <c r="G35" s="73"/>
      <c r="H35" s="73"/>
      <c r="I35" s="73"/>
      <c r="J35" s="73"/>
      <c r="K35" s="73"/>
      <c r="L35" s="73"/>
      <c r="M35" s="73"/>
      <c r="N35" s="73"/>
      <c r="O35" s="73"/>
      <c r="P35" s="73"/>
      <c r="Q35" s="73"/>
      <c r="R35" s="73"/>
      <c r="S35" s="73"/>
      <c r="T35" s="74"/>
      <c r="U35" s="74"/>
      <c r="V35" s="74"/>
    </row>
    <row r="36" spans="1:22">
      <c r="A36" s="73"/>
      <c r="B36" s="73"/>
      <c r="C36" s="73"/>
      <c r="D36" s="73"/>
      <c r="E36" s="73"/>
      <c r="F36" s="73"/>
      <c r="G36" s="73"/>
      <c r="H36" s="73"/>
      <c r="I36" s="73"/>
      <c r="J36" s="73"/>
      <c r="K36" s="73"/>
      <c r="L36" s="73"/>
      <c r="M36" s="73"/>
      <c r="N36" s="73"/>
      <c r="O36" s="73"/>
      <c r="P36" s="73"/>
      <c r="Q36" s="73"/>
      <c r="R36" s="73"/>
      <c r="S36" s="73"/>
      <c r="T36" s="74"/>
      <c r="U36" s="74"/>
      <c r="V36" s="74"/>
    </row>
    <row r="37" spans="1:22" ht="15" thickBot="1">
      <c r="A37" s="99"/>
      <c r="B37" s="99"/>
      <c r="C37" s="99"/>
      <c r="D37" s="99"/>
      <c r="E37" s="99"/>
      <c r="F37" s="99"/>
      <c r="G37" s="99"/>
      <c r="H37" s="99"/>
      <c r="I37" s="99"/>
      <c r="J37" s="99"/>
      <c r="K37" s="99"/>
      <c r="L37" s="99"/>
      <c r="M37" s="99"/>
      <c r="N37" s="99"/>
      <c r="O37" s="99"/>
      <c r="P37" s="99"/>
      <c r="Q37" s="99"/>
      <c r="R37" s="99"/>
      <c r="S37" s="99"/>
      <c r="T37" s="100"/>
      <c r="U37" s="100"/>
      <c r="V37" s="100"/>
    </row>
    <row r="38" spans="1:22" ht="15" thickTop="1">
      <c r="A38" s="120" t="s">
        <v>141</v>
      </c>
      <c r="B38" s="121"/>
      <c r="C38" s="121"/>
      <c r="D38" s="121"/>
      <c r="E38" s="121"/>
      <c r="F38" s="121"/>
      <c r="G38" s="121"/>
      <c r="H38" s="121"/>
      <c r="I38" s="121"/>
      <c r="J38" s="121"/>
      <c r="K38" s="122"/>
      <c r="L38" s="99"/>
      <c r="M38" s="99"/>
      <c r="N38" s="99"/>
      <c r="O38" s="99"/>
      <c r="P38" s="99"/>
      <c r="Q38" s="99"/>
      <c r="R38" s="99"/>
      <c r="S38" s="99"/>
      <c r="T38" s="100"/>
      <c r="U38" s="100"/>
      <c r="V38" s="100"/>
    </row>
    <row r="39" spans="1:22">
      <c r="A39" s="123"/>
      <c r="B39" s="124"/>
      <c r="C39" s="124"/>
      <c r="D39" s="124"/>
      <c r="E39" s="124"/>
      <c r="F39" s="124"/>
      <c r="G39" s="124"/>
      <c r="H39" s="124"/>
      <c r="I39" s="124"/>
      <c r="J39" s="124"/>
      <c r="K39" s="125"/>
      <c r="L39" s="99"/>
      <c r="M39" s="99"/>
      <c r="N39" s="99"/>
      <c r="O39" s="99"/>
      <c r="P39" s="99"/>
      <c r="Q39" s="99"/>
      <c r="R39" s="99"/>
      <c r="S39" s="99"/>
      <c r="T39" s="100"/>
      <c r="U39" s="100"/>
      <c r="V39" s="100"/>
    </row>
    <row r="40" spans="1:22">
      <c r="A40" s="123"/>
      <c r="B40" s="124"/>
      <c r="C40" s="124"/>
      <c r="D40" s="124"/>
      <c r="E40" s="124"/>
      <c r="F40" s="124"/>
      <c r="G40" s="124"/>
      <c r="H40" s="124"/>
      <c r="I40" s="124"/>
      <c r="J40" s="124"/>
      <c r="K40" s="125"/>
      <c r="L40" s="99"/>
      <c r="M40" s="99"/>
      <c r="N40" s="99"/>
      <c r="O40" s="99"/>
      <c r="P40" s="99"/>
      <c r="Q40" s="99"/>
      <c r="R40" s="99"/>
      <c r="S40" s="99"/>
      <c r="T40" s="100"/>
      <c r="U40" s="100"/>
      <c r="V40" s="100"/>
    </row>
    <row r="41" spans="1:22">
      <c r="A41" s="123"/>
      <c r="B41" s="124"/>
      <c r="C41" s="124"/>
      <c r="D41" s="124"/>
      <c r="E41" s="124"/>
      <c r="F41" s="124"/>
      <c r="G41" s="124"/>
      <c r="H41" s="124"/>
      <c r="I41" s="124"/>
      <c r="J41" s="124"/>
      <c r="K41" s="125"/>
      <c r="L41" s="99"/>
      <c r="M41" s="99"/>
      <c r="N41" s="99"/>
      <c r="O41" s="99"/>
      <c r="P41" s="99"/>
      <c r="Q41" s="99"/>
      <c r="R41" s="99"/>
      <c r="S41" s="99"/>
      <c r="T41" s="100"/>
      <c r="U41" s="100"/>
      <c r="V41" s="100"/>
    </row>
    <row r="42" spans="1:22">
      <c r="A42" s="123"/>
      <c r="B42" s="124"/>
      <c r="C42" s="124"/>
      <c r="D42" s="124"/>
      <c r="E42" s="124"/>
      <c r="F42" s="124"/>
      <c r="G42" s="124"/>
      <c r="H42" s="124"/>
      <c r="I42" s="124"/>
      <c r="J42" s="124"/>
      <c r="K42" s="125"/>
      <c r="L42" s="99"/>
      <c r="M42" s="99"/>
      <c r="N42" s="99"/>
      <c r="O42" s="99"/>
      <c r="P42" s="99"/>
      <c r="Q42" s="99"/>
      <c r="R42" s="99"/>
      <c r="S42" s="99"/>
      <c r="T42" s="100"/>
      <c r="U42" s="100"/>
      <c r="V42" s="100"/>
    </row>
    <row r="43" spans="1:22">
      <c r="A43" s="123"/>
      <c r="B43" s="124"/>
      <c r="C43" s="124"/>
      <c r="D43" s="124"/>
      <c r="E43" s="124"/>
      <c r="F43" s="124"/>
      <c r="G43" s="124"/>
      <c r="H43" s="124"/>
      <c r="I43" s="124"/>
      <c r="J43" s="124"/>
      <c r="K43" s="125"/>
      <c r="L43" s="99"/>
      <c r="M43" s="99"/>
      <c r="N43" s="99"/>
      <c r="O43" s="99"/>
      <c r="P43" s="99"/>
      <c r="Q43" s="99"/>
      <c r="R43" s="99"/>
      <c r="S43" s="99"/>
      <c r="T43" s="100"/>
      <c r="U43" s="100"/>
      <c r="V43" s="100"/>
    </row>
    <row r="44" spans="1:22">
      <c r="A44" s="123"/>
      <c r="B44" s="124"/>
      <c r="C44" s="124"/>
      <c r="D44" s="124"/>
      <c r="E44" s="124"/>
      <c r="F44" s="124"/>
      <c r="G44" s="124"/>
      <c r="H44" s="124"/>
      <c r="I44" s="124"/>
      <c r="J44" s="124"/>
      <c r="K44" s="125"/>
      <c r="L44" s="99"/>
      <c r="M44" s="99"/>
      <c r="N44" s="99"/>
      <c r="O44" s="99"/>
      <c r="P44" s="99"/>
      <c r="Q44" s="99"/>
      <c r="R44" s="99"/>
      <c r="S44" s="99"/>
      <c r="T44" s="100"/>
      <c r="U44" s="100"/>
      <c r="V44" s="100"/>
    </row>
    <row r="45" spans="1:22">
      <c r="A45" s="123"/>
      <c r="B45" s="124"/>
      <c r="C45" s="124"/>
      <c r="D45" s="124"/>
      <c r="E45" s="124"/>
      <c r="F45" s="124"/>
      <c r="G45" s="124"/>
      <c r="H45" s="124"/>
      <c r="I45" s="124"/>
      <c r="J45" s="124"/>
      <c r="K45" s="125"/>
      <c r="L45" s="99"/>
      <c r="M45" s="99"/>
      <c r="N45" s="99"/>
      <c r="O45" s="99"/>
      <c r="P45" s="99"/>
      <c r="Q45" s="99"/>
      <c r="R45" s="99"/>
      <c r="S45" s="99"/>
      <c r="T45" s="100"/>
      <c r="U45" s="100"/>
      <c r="V45" s="100"/>
    </row>
    <row r="46" spans="1:22">
      <c r="A46" s="123"/>
      <c r="B46" s="124"/>
      <c r="C46" s="124"/>
      <c r="D46" s="124"/>
      <c r="E46" s="124"/>
      <c r="F46" s="124"/>
      <c r="G46" s="124"/>
      <c r="H46" s="124"/>
      <c r="I46" s="124"/>
      <c r="J46" s="124"/>
      <c r="K46" s="125"/>
      <c r="L46" s="99"/>
      <c r="M46" s="99"/>
      <c r="N46" s="99"/>
      <c r="O46" s="99"/>
      <c r="P46" s="99"/>
      <c r="Q46" s="99"/>
      <c r="R46" s="99"/>
      <c r="S46" s="99"/>
      <c r="T46" s="100"/>
      <c r="U46" s="100"/>
      <c r="V46" s="100"/>
    </row>
    <row r="47" spans="1:22">
      <c r="A47" s="123"/>
      <c r="B47" s="124"/>
      <c r="C47" s="124"/>
      <c r="D47" s="124"/>
      <c r="E47" s="124"/>
      <c r="F47" s="124"/>
      <c r="G47" s="124"/>
      <c r="H47" s="124"/>
      <c r="I47" s="124"/>
      <c r="J47" s="124"/>
      <c r="K47" s="125"/>
      <c r="L47" s="99"/>
      <c r="M47" s="99"/>
      <c r="N47" s="99"/>
      <c r="O47" s="99"/>
      <c r="P47" s="99"/>
      <c r="Q47" s="99"/>
      <c r="R47" s="99"/>
      <c r="S47" s="99"/>
      <c r="T47" s="100"/>
      <c r="U47" s="100"/>
      <c r="V47" s="100"/>
    </row>
    <row r="48" spans="1:22">
      <c r="A48" s="123"/>
      <c r="B48" s="124"/>
      <c r="C48" s="124"/>
      <c r="D48" s="124"/>
      <c r="E48" s="124"/>
      <c r="F48" s="124"/>
      <c r="G48" s="124"/>
      <c r="H48" s="124"/>
      <c r="I48" s="124"/>
      <c r="J48" s="124"/>
      <c r="K48" s="125"/>
      <c r="L48" s="99"/>
      <c r="M48" s="99"/>
      <c r="N48" s="99"/>
      <c r="O48" s="99"/>
      <c r="P48" s="99"/>
      <c r="Q48" s="99"/>
      <c r="R48" s="99"/>
      <c r="S48" s="99"/>
      <c r="T48" s="100"/>
      <c r="U48" s="100"/>
      <c r="V48" s="100"/>
    </row>
    <row r="49" spans="1:22">
      <c r="A49" s="123"/>
      <c r="B49" s="124"/>
      <c r="C49" s="124"/>
      <c r="D49" s="124"/>
      <c r="E49" s="124"/>
      <c r="F49" s="124"/>
      <c r="G49" s="124"/>
      <c r="H49" s="124"/>
      <c r="I49" s="124"/>
      <c r="J49" s="124"/>
      <c r="K49" s="125"/>
      <c r="L49" s="99"/>
      <c r="M49" s="99"/>
      <c r="N49" s="99"/>
      <c r="O49" s="99"/>
      <c r="P49" s="99"/>
      <c r="Q49" s="99"/>
      <c r="R49" s="99"/>
      <c r="S49" s="99"/>
      <c r="T49" s="100"/>
      <c r="U49" s="100"/>
      <c r="V49" s="100"/>
    </row>
    <row r="50" spans="1:22" ht="15" thickBot="1">
      <c r="A50" s="126"/>
      <c r="B50" s="127"/>
      <c r="C50" s="127"/>
      <c r="D50" s="127"/>
      <c r="E50" s="127"/>
      <c r="F50" s="127"/>
      <c r="G50" s="127"/>
      <c r="H50" s="127"/>
      <c r="I50" s="127"/>
      <c r="J50" s="127"/>
      <c r="K50" s="128"/>
      <c r="L50" s="99"/>
      <c r="M50" s="99"/>
      <c r="N50" s="99"/>
      <c r="O50" s="99"/>
      <c r="P50" s="99"/>
      <c r="Q50" s="99"/>
      <c r="R50" s="99"/>
      <c r="S50" s="99"/>
      <c r="T50" s="100"/>
      <c r="U50" s="100"/>
      <c r="V50" s="100"/>
    </row>
    <row r="51" spans="1:22" ht="15" thickTop="1"/>
  </sheetData>
  <mergeCells count="6">
    <mergeCell ref="G11:H12"/>
    <mergeCell ref="A38:K50"/>
    <mergeCell ref="A1:V4"/>
    <mergeCell ref="B6:D6"/>
    <mergeCell ref="G6:K6"/>
    <mergeCell ref="B11:D11"/>
  </mergeCells>
  <conditionalFormatting sqref="C13">
    <cfRule type="cellIs" dxfId="6" priority="2" operator="greaterThanOrEqual">
      <formula>$B$8</formula>
    </cfRule>
    <cfRule type="cellIs" dxfId="5" priority="3" operator="lessThanOrEqual">
      <formula>Q7</formula>
    </cfRule>
  </conditionalFormatting>
  <conditionalFormatting sqref="J19:P19">
    <cfRule type="cellIs" dxfId="4" priority="1" operator="lessThan">
      <formula>0</formula>
    </cfRule>
  </conditionalFormatting>
  <dataValidations count="2">
    <dataValidation type="date" operator="greaterThanOrEqual" allowBlank="1" showInputMessage="1" showErrorMessage="1" errorTitle="Date invalide" error="La Date doite être  égale ou superieure à &quot;27/06/2022&quot;" prompt="La Date doite être  égale ou superieure à &quot;27/06/2022&quot;" sqref="B8" xr:uid="{4A40E91D-10D4-4FDA-A369-9DE6C9911794}">
      <formula1>44739</formula1>
    </dataValidation>
    <dataValidation type="whole" allowBlank="1" showErrorMessage="1" errorTitle="Invalide" error="Veuillez choisir une autre combinaison de &quot;SKU&quot; et &quot;Location ID&quot;!" promptTitle="Invalide" prompt="Combinaison &quot; SKU&quot;  et &quot;Location ID&quot; introuvable!" sqref="I13" xr:uid="{017D5706-B715-42E4-807E-524C75A68FF7}">
      <formula1>0</formula1>
      <formula2>100000000000</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83D319E-6692-4DC1-A144-280FE1CC9848}">
          <x14:formula1>
            <xm:f>Shop!$A$2:$A$19</xm:f>
          </x14:formula1>
          <xm:sqref>D8</xm:sqref>
        </x14:dataValidation>
        <x14:dataValidation type="list" allowBlank="1" showInputMessage="1" showErrorMessage="1" xr:uid="{18D3D6B4-B119-4148-90A3-BA6CFA194AE8}">
          <x14:formula1>
            <xm:f>Article!$A$2:$A$31</xm:f>
          </x14:formula1>
          <xm:sqref>C8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FB4C-3E16-48D7-ACD1-F947018825C5}">
  <dimension ref="A1"/>
  <sheetViews>
    <sheetView workbookViewId="0"/>
  </sheetViews>
  <sheetFormatPr baseColWidth="10"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741E-4177-44AC-8737-6E3D228D6A9E}">
  <dimension ref="A1:Y55"/>
  <sheetViews>
    <sheetView tabSelected="1" topLeftCell="B6" workbookViewId="0">
      <selection activeCell="C8" sqref="C8"/>
    </sheetView>
  </sheetViews>
  <sheetFormatPr baseColWidth="10" defaultRowHeight="14.4"/>
  <cols>
    <col min="1" max="1" width="9" customWidth="1"/>
    <col min="2" max="2" width="15.44140625" customWidth="1"/>
    <col min="3" max="3" width="20.109375" customWidth="1"/>
    <col min="4" max="4" width="18.77734375" customWidth="1"/>
    <col min="8" max="8" width="22.77734375" customWidth="1"/>
    <col min="9" max="9" width="12.77734375" customWidth="1"/>
    <col min="10" max="10" width="14.77734375" bestFit="1" customWidth="1"/>
  </cols>
  <sheetData>
    <row r="1" spans="1:22">
      <c r="A1" s="129" t="s">
        <v>126</v>
      </c>
      <c r="B1" s="130"/>
      <c r="C1" s="130"/>
      <c r="D1" s="130"/>
      <c r="E1" s="130"/>
      <c r="F1" s="130"/>
      <c r="G1" s="130"/>
      <c r="H1" s="130"/>
      <c r="I1" s="130"/>
      <c r="J1" s="130"/>
      <c r="K1" s="130"/>
      <c r="L1" s="130"/>
      <c r="M1" s="130"/>
      <c r="N1" s="130"/>
      <c r="O1" s="130"/>
      <c r="P1" s="130"/>
      <c r="Q1" s="130"/>
      <c r="R1" s="130"/>
      <c r="S1" s="130"/>
      <c r="T1" s="130"/>
      <c r="U1" s="130"/>
      <c r="V1" s="131"/>
    </row>
    <row r="2" spans="1:22">
      <c r="A2" s="118"/>
      <c r="B2" s="124"/>
      <c r="C2" s="124"/>
      <c r="D2" s="124"/>
      <c r="E2" s="124"/>
      <c r="F2" s="124"/>
      <c r="G2" s="124"/>
      <c r="H2" s="124"/>
      <c r="I2" s="124"/>
      <c r="J2" s="124"/>
      <c r="K2" s="124"/>
      <c r="L2" s="124"/>
      <c r="M2" s="124"/>
      <c r="N2" s="124"/>
      <c r="O2" s="124"/>
      <c r="P2" s="124"/>
      <c r="Q2" s="124"/>
      <c r="R2" s="124"/>
      <c r="S2" s="124"/>
      <c r="T2" s="124"/>
      <c r="U2" s="124"/>
      <c r="V2" s="132"/>
    </row>
    <row r="3" spans="1:22">
      <c r="A3" s="118"/>
      <c r="B3" s="124"/>
      <c r="C3" s="124"/>
      <c r="D3" s="124"/>
      <c r="E3" s="124"/>
      <c r="F3" s="124"/>
      <c r="G3" s="124"/>
      <c r="H3" s="124"/>
      <c r="I3" s="124"/>
      <c r="J3" s="124"/>
      <c r="K3" s="124"/>
      <c r="L3" s="124"/>
      <c r="M3" s="124"/>
      <c r="N3" s="124"/>
      <c r="O3" s="124"/>
      <c r="P3" s="124"/>
      <c r="Q3" s="124"/>
      <c r="R3" s="124"/>
      <c r="S3" s="124"/>
      <c r="T3" s="124"/>
      <c r="U3" s="124"/>
      <c r="V3" s="132"/>
    </row>
    <row r="4" spans="1:22" ht="15" thickBot="1">
      <c r="A4" s="133"/>
      <c r="B4" s="134"/>
      <c r="C4" s="134"/>
      <c r="D4" s="134"/>
      <c r="E4" s="134"/>
      <c r="F4" s="134"/>
      <c r="G4" s="134"/>
      <c r="H4" s="134"/>
      <c r="I4" s="134"/>
      <c r="J4" s="134"/>
      <c r="K4" s="134"/>
      <c r="L4" s="134"/>
      <c r="M4" s="134"/>
      <c r="N4" s="134"/>
      <c r="O4" s="134"/>
      <c r="P4" s="134"/>
      <c r="Q4" s="134"/>
      <c r="R4" s="134"/>
      <c r="S4" s="134"/>
      <c r="T4" s="134"/>
      <c r="U4" s="134"/>
      <c r="V4" s="135"/>
    </row>
    <row r="5" spans="1:22" ht="15" thickBot="1">
      <c r="A5" s="61"/>
      <c r="B5" s="61"/>
      <c r="C5" s="61"/>
      <c r="D5" s="61"/>
      <c r="E5" s="61"/>
      <c r="F5" s="61"/>
      <c r="G5" s="61"/>
      <c r="H5" s="61"/>
      <c r="I5" s="61"/>
      <c r="J5" s="61"/>
      <c r="K5" s="61"/>
      <c r="L5" s="61"/>
      <c r="M5" s="61"/>
      <c r="N5" s="61"/>
      <c r="O5" s="61"/>
      <c r="P5" s="61"/>
      <c r="Q5" s="61"/>
      <c r="R5" s="61"/>
      <c r="S5" s="61"/>
      <c r="T5" s="71"/>
      <c r="U5" s="71"/>
      <c r="V5" s="71"/>
    </row>
    <row r="6" spans="1:22" ht="15" thickBot="1">
      <c r="A6" s="61"/>
      <c r="B6" s="136" t="s">
        <v>119</v>
      </c>
      <c r="C6" s="137"/>
      <c r="D6" s="138"/>
      <c r="E6" s="61"/>
      <c r="F6" s="61"/>
      <c r="G6" s="139" t="s">
        <v>120</v>
      </c>
      <c r="H6" s="140"/>
      <c r="I6" s="140"/>
      <c r="J6" s="140"/>
      <c r="K6" s="140"/>
      <c r="L6" s="140"/>
      <c r="M6" s="140"/>
      <c r="N6" s="61"/>
      <c r="O6" s="61"/>
      <c r="P6" s="61"/>
      <c r="Q6" s="61"/>
      <c r="R6" s="61"/>
      <c r="S6" s="61"/>
      <c r="T6" s="71"/>
      <c r="U6" s="71"/>
      <c r="V6" s="71"/>
    </row>
    <row r="7" spans="1:22" ht="51.6" customHeight="1" thickBot="1">
      <c r="A7" s="64"/>
      <c r="B7" s="62" t="s">
        <v>121</v>
      </c>
      <c r="C7" s="62" t="s">
        <v>0</v>
      </c>
      <c r="D7" s="63" t="s">
        <v>38</v>
      </c>
      <c r="E7" s="64"/>
      <c r="F7" s="64"/>
      <c r="G7" s="65" t="s">
        <v>122</v>
      </c>
      <c r="H7" s="66" t="s">
        <v>123</v>
      </c>
      <c r="I7" s="66" t="s">
        <v>124</v>
      </c>
      <c r="J7" s="66" t="s">
        <v>74</v>
      </c>
      <c r="K7" s="67" t="s">
        <v>125</v>
      </c>
      <c r="L7" s="67" t="s">
        <v>169</v>
      </c>
      <c r="M7" s="67" t="s">
        <v>170</v>
      </c>
      <c r="N7" s="64"/>
      <c r="O7" s="64"/>
      <c r="P7" s="64"/>
      <c r="Q7" s="64"/>
      <c r="R7" s="64"/>
      <c r="S7" s="64"/>
      <c r="T7" s="72"/>
      <c r="U7" s="72"/>
      <c r="V7" s="72"/>
    </row>
    <row r="8" spans="1:22" ht="43.2" customHeight="1" thickBot="1">
      <c r="A8" s="61"/>
      <c r="B8" s="14">
        <v>44739</v>
      </c>
      <c r="C8" s="4">
        <v>141622</v>
      </c>
      <c r="D8" s="4">
        <v>1211</v>
      </c>
      <c r="E8" s="61"/>
      <c r="F8" s="61"/>
      <c r="G8" s="69" t="str">
        <f xml:space="preserve"> IFERROR(VLOOKUP(DRP_V2!C8,Article!A:F,2,FALSE), "SKU non trouvé")</f>
        <v>BONDE LAVABO</v>
      </c>
      <c r="H8" s="70" t="str">
        <f>IFERROR(VLOOKUP(C8,Article!A:F,3,FALSE), "SKU non trouvé")</f>
        <v>SALLE DE BAINS</v>
      </c>
      <c r="I8" s="70" t="str">
        <f>IFERROR(VLOOKUP(D8,Shop!A:C,2), "Location ID Non trouvé")</f>
        <v>TOULON</v>
      </c>
      <c r="J8" s="70" t="str">
        <f>IFERROR(VLOOKUP(C8,Article!A:F,4,FALSE),"SKU non trouvé")</f>
        <v>UVC</v>
      </c>
      <c r="K8" s="68">
        <f>IFERROR(VLOOKUP(C8,Article!A:F,5,FALSE),"SKU non trouvé")</f>
        <v>7</v>
      </c>
      <c r="L8" s="69">
        <f>VLOOKUP(C8,'[1]Article-Paramètre'!$A:$C,3,FALSE)</f>
        <v>4</v>
      </c>
      <c r="M8" s="70">
        <f>VLOOKUP(C8,'[1]Article-Paramètre'!$A:$C,2,FALSE)</f>
        <v>10</v>
      </c>
      <c r="N8" s="61"/>
      <c r="O8" s="61"/>
      <c r="P8" s="61"/>
      <c r="Q8" s="61"/>
      <c r="R8" s="61"/>
      <c r="S8" s="61"/>
      <c r="T8" s="71"/>
      <c r="U8" s="71"/>
      <c r="V8" s="71"/>
    </row>
    <row r="9" spans="1:22">
      <c r="A9" s="61"/>
      <c r="B9" s="61"/>
      <c r="C9" s="61"/>
      <c r="D9" s="61"/>
      <c r="E9" s="61"/>
      <c r="F9" s="61"/>
      <c r="G9" s="61"/>
      <c r="H9" s="61"/>
      <c r="I9" s="61"/>
      <c r="J9" s="61"/>
      <c r="K9" s="61"/>
      <c r="L9" s="61"/>
      <c r="M9" s="61"/>
      <c r="N9" s="61"/>
      <c r="O9" s="61"/>
      <c r="P9" s="61"/>
      <c r="Q9" s="61"/>
      <c r="R9" s="61"/>
      <c r="S9" s="61"/>
      <c r="T9" s="71"/>
      <c r="U9" s="71"/>
      <c r="V9" s="71"/>
    </row>
    <row r="10" spans="1:22" ht="15" thickBot="1">
      <c r="A10" s="73"/>
      <c r="B10" s="73"/>
      <c r="C10" s="73"/>
      <c r="D10" s="73"/>
      <c r="E10" s="73"/>
      <c r="F10" s="73"/>
      <c r="G10" s="73"/>
      <c r="H10" s="73"/>
      <c r="I10" s="73"/>
      <c r="J10" s="73"/>
      <c r="K10" s="73"/>
      <c r="L10" s="73"/>
      <c r="M10" s="73"/>
      <c r="N10" s="73"/>
      <c r="O10" s="73"/>
      <c r="P10" s="73"/>
      <c r="Q10" s="73"/>
      <c r="R10" s="73"/>
      <c r="S10" s="73"/>
      <c r="T10" s="74"/>
      <c r="U10" s="74"/>
      <c r="V10" s="74"/>
    </row>
    <row r="11" spans="1:22" ht="15" thickBot="1">
      <c r="A11" s="73"/>
      <c r="B11" s="142" t="s">
        <v>127</v>
      </c>
      <c r="C11" s="143"/>
      <c r="D11" s="144"/>
      <c r="E11" s="73"/>
      <c r="F11" s="73"/>
      <c r="G11" s="116" t="s">
        <v>128</v>
      </c>
      <c r="H11" s="117"/>
      <c r="I11" s="75"/>
      <c r="J11" s="75"/>
      <c r="K11" s="75"/>
      <c r="L11" s="75"/>
      <c r="M11" s="75"/>
      <c r="N11" s="75"/>
      <c r="O11" s="75"/>
      <c r="P11" s="76"/>
      <c r="Q11" s="73"/>
      <c r="R11" s="73"/>
      <c r="S11" s="73"/>
      <c r="T11" s="73"/>
      <c r="U11" s="73"/>
      <c r="V11" s="74"/>
    </row>
    <row r="12" spans="1:22" ht="29.4" thickBot="1">
      <c r="A12" s="73"/>
      <c r="B12" s="77" t="s">
        <v>129</v>
      </c>
      <c r="C12" s="78" t="s">
        <v>130</v>
      </c>
      <c r="D12" s="79" t="s">
        <v>131</v>
      </c>
      <c r="E12" s="73"/>
      <c r="F12" s="73"/>
      <c r="G12" s="118"/>
      <c r="H12" s="119"/>
      <c r="I12" s="80">
        <f>B8</f>
        <v>44739</v>
      </c>
      <c r="J12" s="80">
        <f t="shared" ref="J12:O12" si="0">I12+7</f>
        <v>44746</v>
      </c>
      <c r="K12" s="80">
        <f t="shared" si="0"/>
        <v>44753</v>
      </c>
      <c r="L12" s="80">
        <f t="shared" si="0"/>
        <v>44760</v>
      </c>
      <c r="M12" s="80">
        <f t="shared" si="0"/>
        <v>44767</v>
      </c>
      <c r="N12" s="80">
        <f t="shared" si="0"/>
        <v>44774</v>
      </c>
      <c r="O12" s="80">
        <f t="shared" si="0"/>
        <v>44781</v>
      </c>
      <c r="P12" s="80">
        <f>O12+7</f>
        <v>44788</v>
      </c>
      <c r="Q12" s="73"/>
      <c r="R12" s="73"/>
      <c r="S12" s="73"/>
      <c r="T12" s="73"/>
      <c r="U12" s="73"/>
      <c r="V12" s="74"/>
    </row>
    <row r="13" spans="1:22" ht="15" thickBot="1">
      <c r="A13" s="73"/>
      <c r="B13" s="81">
        <f>IFERROR(C13-K8,"")</f>
        <v>44767</v>
      </c>
      <c r="C13" s="82" cm="1">
        <f t="array" ref="C13">IFERROR(INDEX(I12:P12,MATCH(TRUE,IF((I12:P12&gt;=B8+K8)*(I22:P22&gt;0),TRUE,FALSE),0)),"Aucune livraison encours")</f>
        <v>44774</v>
      </c>
      <c r="D13" s="83">
        <f>IFERROR(INDEX(I22:P22,MATCH(C13,I12:P12,0)),"")</f>
        <v>10</v>
      </c>
      <c r="E13" s="73"/>
      <c r="F13" s="73"/>
      <c r="G13" s="84" t="s">
        <v>132</v>
      </c>
      <c r="H13" s="85"/>
      <c r="I13" s="89">
        <f>IFERROR(INDEX(Stock_S_Encours!C:C,MATCH(D8&amp;"-"&amp;C8,Stock_S_Encours!D:D,0)), 0)</f>
        <v>110</v>
      </c>
      <c r="J13" s="89"/>
      <c r="K13" s="89"/>
      <c r="L13" s="89"/>
      <c r="M13" s="89"/>
      <c r="N13" s="89"/>
      <c r="O13" s="89"/>
      <c r="P13" s="89"/>
      <c r="Q13" s="73"/>
      <c r="R13" s="73"/>
      <c r="S13" s="73"/>
      <c r="T13" s="73"/>
      <c r="U13" s="73"/>
      <c r="V13" s="74"/>
    </row>
    <row r="14" spans="1:22">
      <c r="A14" s="73"/>
      <c r="B14" s="73"/>
      <c r="C14" s="73"/>
      <c r="D14" s="73"/>
      <c r="E14" s="73"/>
      <c r="F14" s="73"/>
      <c r="G14" s="87" t="s">
        <v>133</v>
      </c>
      <c r="H14" s="88"/>
      <c r="I14" s="90"/>
      <c r="J14" s="90">
        <f>IF(I13+I18+I22-I17&gt;0,I13+I18+I22-I17,0)</f>
        <v>85</v>
      </c>
      <c r="K14" s="90">
        <f>IF(J14+J18+J22-J17&gt;0,J14+J18+J22-J17,0)</f>
        <v>67</v>
      </c>
      <c r="L14" s="90">
        <f>IF(K14+K18+K22-K17&gt;0,K14+K18+K22-K17,0)</f>
        <v>66</v>
      </c>
      <c r="M14" s="90">
        <f t="shared" ref="M14:P14" si="1">IF(L14+L18+L22-L17&gt;0,L14+L18+L22-L17,0)</f>
        <v>52</v>
      </c>
      <c r="N14" s="90">
        <f t="shared" si="1"/>
        <v>28</v>
      </c>
      <c r="O14" s="90">
        <f t="shared" si="1"/>
        <v>16</v>
      </c>
      <c r="P14" s="90">
        <f t="shared" si="1"/>
        <v>10</v>
      </c>
      <c r="Q14" s="73"/>
      <c r="R14" s="73"/>
      <c r="S14" s="73"/>
      <c r="T14" s="73"/>
      <c r="U14" s="73"/>
      <c r="V14" s="74"/>
    </row>
    <row r="15" spans="1:22">
      <c r="A15" s="73"/>
      <c r="B15" s="73"/>
      <c r="C15" s="73"/>
      <c r="D15" s="73"/>
      <c r="E15" s="73"/>
      <c r="F15" s="73"/>
      <c r="G15" s="87" t="s">
        <v>134</v>
      </c>
      <c r="H15" s="88"/>
      <c r="I15" s="89">
        <f>IF((I13+I18)-I17&lt;0,(I13+I18)-I17,0)</f>
        <v>0</v>
      </c>
      <c r="J15" s="89">
        <f>IF((J14+J18)-J17&lt;0,(J14+J18)-J17,0)</f>
        <v>0</v>
      </c>
      <c r="K15" s="89">
        <f t="shared" ref="K15:P15" si="2">IF((K14+K18)-K17&lt;0,(K14+K18)-K17,0)</f>
        <v>0</v>
      </c>
      <c r="L15" s="89">
        <f t="shared" si="2"/>
        <v>0</v>
      </c>
      <c r="M15" s="89">
        <f t="shared" si="2"/>
        <v>0</v>
      </c>
      <c r="N15" s="89">
        <f t="shared" si="2"/>
        <v>0</v>
      </c>
      <c r="O15" s="89">
        <f t="shared" si="2"/>
        <v>0</v>
      </c>
      <c r="P15" s="89">
        <f t="shared" si="2"/>
        <v>-13</v>
      </c>
      <c r="Q15" s="73"/>
      <c r="R15" s="73"/>
      <c r="S15" s="73"/>
      <c r="T15" s="73"/>
      <c r="U15" s="73"/>
      <c r="V15" s="74"/>
    </row>
    <row r="16" spans="1:22">
      <c r="A16" s="73"/>
      <c r="B16" s="73"/>
      <c r="C16" s="73"/>
      <c r="D16" s="73"/>
      <c r="E16" s="73"/>
      <c r="F16" s="73"/>
      <c r="G16" s="87" t="s">
        <v>135</v>
      </c>
      <c r="H16" s="88"/>
      <c r="I16" s="89">
        <f>IF(I14+I13+I18&lt;0,0,IF(I15&lt;0,(1+I15/I17)*7,IF(J15&lt;0,7+(1+J15/J17)*7,IF(K15&lt;0,14+(1+K15/K17)*7,IF(L15&lt;0,21+(1+L15/L17)*7,IF(M15&lt;0,28+(1+M15/M17)*7,IF(N15&lt;0,35+(1+N15/N17)*7,IF(O15&lt;0,42+(1+O15/O17)*7,IF(P15&lt;0,49+(1+P15/P17)*7,56)))))))))</f>
        <v>52.043478260869563</v>
      </c>
      <c r="J16" s="89">
        <f>IF(J14+J13+J18&lt;0,0,IF(J15&lt;0,(1+J15/J17)*7,IF(K15&lt;0,7+(1+K15/K17)*7,IF(L15&lt;0,14+(1+L15/L17)*7,IF(M15&lt;0,21+(1+M15/M17)*7,IF(N15&lt;0,28+(1+N15/N17)*7,IF(O15&lt;0,35+(1+O15/O17)*7,IF(P15&lt;0,42+(1+P15/P17)*7,49))))))))</f>
        <v>45.043478260869563</v>
      </c>
      <c r="K16" s="89">
        <f>IF(K14+K13+K18&lt;0,0,IF(K15&lt;0,(1+K15/K17)*7,IF(L15&lt;0,7+(1+L15/L17)*7,IF(M15&lt;0,14+(1+M15/M17)*7,IF(N15&lt;0,21+(1+N15/N17)*7,IF(O15&lt;0,28+(1+O15/O17)*7,IF(P15&lt;0,35+(1+P15/P17)*7,42)))))))</f>
        <v>38.043478260869563</v>
      </c>
      <c r="L16" s="89">
        <f>IF(L14+L13+L18&lt;0,0,IF(L15&lt;0,(1+L15/L17)*7,IF(M15&lt;0,7+(1+M15/M17)*7,IF(N15&lt;0,14+(1+N15/N17)*7,IF(O15&lt;0,21+(1+O15/O17)*7,IF(P15&lt;0,28+(1+P15/P17)*7,35))))))</f>
        <v>31.043478260869566</v>
      </c>
      <c r="M16" s="89">
        <f>IF(M14+M13+M18&lt;0,0,IF(M15&lt;0,(1+M15/M17)*7,IF(N15&lt;0,7+(1+N15/N17)*7,IF(O15&lt;0,14+(1+O15/O17)*7,IF(P15&lt;0,21+(1+P15/P17)*7,28)))))</f>
        <v>24.043478260869566</v>
      </c>
      <c r="N16" s="89">
        <f>IF(N14+N13+N18&lt;0,0,IF(N15&lt;0,(1+N15/N17)*7,IF(O15&lt;0,7+(1+O15/O17)*7,IF(P15&lt;0,14+(1+P15/P17)*7,21))))</f>
        <v>17.043478260869566</v>
      </c>
      <c r="O16" s="89">
        <f>IF(O14+O13+O18&lt;0,0,IF(O15&lt;0,(1+O15/O17)*7,IF(P15&lt;0,7+(1+P15/P17)*7,14)))</f>
        <v>10.043478260869566</v>
      </c>
      <c r="P16" s="90">
        <f>IF(P14+P13+P18&lt;0,0,IF(P15&lt;0,(1+P15/P17)*7,56))</f>
        <v>3.0434782608695654</v>
      </c>
      <c r="Q16" s="73"/>
      <c r="R16" s="73"/>
      <c r="S16" s="73"/>
      <c r="T16" s="73"/>
      <c r="U16" s="73"/>
      <c r="V16" s="74"/>
    </row>
    <row r="17" spans="1:22">
      <c r="A17" s="73"/>
      <c r="B17" s="73"/>
      <c r="C17" s="73"/>
      <c r="D17" s="73"/>
      <c r="E17" s="73"/>
      <c r="F17" s="73"/>
      <c r="G17" s="87" t="s">
        <v>136</v>
      </c>
      <c r="H17" s="88"/>
      <c r="I17" s="89">
        <f>IFERROR(INDEX(Forecast!D:D,MATCH(D8&amp;"-"&amp;C8&amp;"-"&amp;INT(B8),Forecast!E:E,0)),0)</f>
        <v>25</v>
      </c>
      <c r="J17" s="90">
        <f>IFERROR(INDEX(Forecast!D:D,MATCH(D8&amp;"-"&amp;C8&amp;"-"&amp;INT(J12),Forecast!E:E,0)),0)</f>
        <v>18</v>
      </c>
      <c r="K17" s="90">
        <f>IFERROR(INDEX(Forecast!D:D,MATCH(D8&amp;"-"&amp;C8&amp;"-"&amp;INT(K12),Forecast!E:E,0)),0)</f>
        <v>22</v>
      </c>
      <c r="L17" s="90">
        <f>IFERROR(INDEX(Forecast!D:D,MATCH(D8&amp;"-"&amp;C8&amp;"-"&amp;INT(L12),Forecast!E:E,0)),0)</f>
        <v>14</v>
      </c>
      <c r="M17" s="90">
        <f>IFERROR(INDEX(Forecast!D:D,MATCH(D8&amp;"-"&amp;C8&amp;"-"&amp;INT(M12),Forecast!E:E,0)),0)</f>
        <v>24</v>
      </c>
      <c r="N17" s="90">
        <f>IFERROR(INDEX(Forecast!D:D,MATCH(D8&amp;"-"&amp;C8&amp;"-"&amp;INT(N12),Forecast!E:E,0)),0)</f>
        <v>22</v>
      </c>
      <c r="O17" s="90">
        <f>IFERROR(INDEX(Forecast!D:D,MATCH(D8&amp;"-"&amp;C8&amp;"-"&amp;INT(O12),Forecast!E:E,0)),0)</f>
        <v>16</v>
      </c>
      <c r="P17" s="89">
        <f>IFERROR(INDEX(Forecast!D:D,MATCH(D8&amp;"-"&amp;C8&amp;"-"&amp;INT(P12),Forecast!E:E,0)),0)</f>
        <v>23</v>
      </c>
      <c r="Q17" s="73"/>
      <c r="R17" s="73"/>
      <c r="S17" s="73"/>
      <c r="T17" s="73"/>
      <c r="U17" s="73"/>
      <c r="V17" s="74"/>
    </row>
    <row r="18" spans="1:22">
      <c r="A18" s="73"/>
      <c r="B18" s="73"/>
      <c r="C18" s="73"/>
      <c r="D18" s="73"/>
      <c r="E18" s="73"/>
      <c r="F18" s="73"/>
      <c r="G18" s="87" t="s">
        <v>137</v>
      </c>
      <c r="H18" s="88"/>
      <c r="I18" s="89">
        <f>IFERROR(INDEX(Commandes_EnCours!D:D,MATCH(D8&amp;"-"&amp;C8&amp;"-"&amp;INT(B8),Commandes_EnCours!E:E,0)),0)</f>
        <v>0</v>
      </c>
      <c r="J18" s="90">
        <f>IFERROR(INDEX(Commandes_EnCours!D:D,MATCH(D8&amp;"-"&amp;C8&amp;"-"&amp;INT(J12),Commandes_EnCours!E:E,0)),0)</f>
        <v>0</v>
      </c>
      <c r="K18" s="90">
        <f>IFERROR(INDEX(Commandes_EnCours!D:D,MATCH(D8&amp;"-"&amp;C8&amp;"-"&amp;INT(K12),Commandes_EnCours!E:E,0)),0)</f>
        <v>21</v>
      </c>
      <c r="L18" s="90">
        <f>IFERROR(INDEX(Commandes_EnCours!D:D,MATCH(D8&amp;"-"&amp;C8&amp;"-"&amp;INT(L12),Commandes_EnCours!E:E,0)),0)</f>
        <v>0</v>
      </c>
      <c r="M18" s="90">
        <f>IFERROR(INDEX(Commandes_EnCours!D:D,MATCH(D8&amp;"-"&amp;C8&amp;"-"&amp;INT(M12),Commandes_EnCours!E:E,0)),0)</f>
        <v>0</v>
      </c>
      <c r="N18" s="90">
        <f>IFERROR(INDEX(Commandes_EnCours!D:D,MATCH(D8&amp;"-"&amp;C8&amp;"-"&amp;INT(N12),Commandes_EnCours!E:E,0)),0)</f>
        <v>0</v>
      </c>
      <c r="O18" s="90">
        <f>IFERROR(INDEX(Commandes_EnCours!D:D,MATCH(D8&amp;"-"&amp;C8&amp;"-"&amp;INT(O12),Commandes_EnCours!E:E,0)),0)</f>
        <v>0</v>
      </c>
      <c r="P18" s="89">
        <f>IFERROR(INDEX(Commandes_EnCours!D:D,MATCH(D8&amp;"-"&amp;C8&amp;"-"&amp;INT(P12),Commandes_EnCours!E:E,0)),0)</f>
        <v>0</v>
      </c>
      <c r="Q18" s="73"/>
      <c r="R18" s="73"/>
      <c r="S18" s="73"/>
      <c r="T18" s="73"/>
      <c r="U18" s="73"/>
      <c r="V18" s="74"/>
    </row>
    <row r="19" spans="1:22" ht="15" thickBot="1">
      <c r="A19" s="73"/>
      <c r="B19" s="73"/>
      <c r="C19" s="73"/>
      <c r="D19" s="73"/>
      <c r="E19" s="73"/>
      <c r="F19" s="73"/>
      <c r="G19" s="92" t="s">
        <v>138</v>
      </c>
      <c r="H19" s="93"/>
      <c r="I19" s="89">
        <f t="shared" ref="I19:P19" si="3">ABS(I21)</f>
        <v>0</v>
      </c>
      <c r="J19" s="89">
        <f t="shared" si="3"/>
        <v>0</v>
      </c>
      <c r="K19" s="89">
        <f>ABS(K21)</f>
        <v>0</v>
      </c>
      <c r="L19" s="89">
        <f t="shared" si="3"/>
        <v>0</v>
      </c>
      <c r="M19" s="89">
        <f t="shared" si="3"/>
        <v>0</v>
      </c>
      <c r="N19" s="89">
        <f t="shared" si="3"/>
        <v>6.5714285714285694</v>
      </c>
      <c r="O19" s="89">
        <f t="shared" si="3"/>
        <v>9.1428571428571423</v>
      </c>
      <c r="P19" s="89">
        <f t="shared" si="3"/>
        <v>26.142857142857139</v>
      </c>
      <c r="Q19" s="73"/>
      <c r="R19" s="73"/>
      <c r="S19" s="73"/>
      <c r="T19" s="73"/>
      <c r="U19" s="73"/>
      <c r="V19" s="74"/>
    </row>
    <row r="20" spans="1:22">
      <c r="A20" s="73"/>
      <c r="B20" s="73"/>
      <c r="C20" s="73"/>
      <c r="D20" s="73"/>
      <c r="E20" s="73"/>
      <c r="F20" s="73"/>
      <c r="G20" s="87" t="s">
        <v>171</v>
      </c>
      <c r="H20" s="88"/>
      <c r="I20" s="89">
        <f>(L8/7)*I17</f>
        <v>14.285714285714285</v>
      </c>
      <c r="J20" s="89">
        <f>(L8/7)*J17</f>
        <v>10.285714285714285</v>
      </c>
      <c r="K20" s="89">
        <f>(L8/7)*K17</f>
        <v>12.571428571428571</v>
      </c>
      <c r="L20" s="89">
        <f>(L8/7)*L17</f>
        <v>8</v>
      </c>
      <c r="M20" s="89">
        <f>(L8/7)*M17</f>
        <v>13.714285714285714</v>
      </c>
      <c r="N20" s="89">
        <f>(L8/7)*N17</f>
        <v>12.571428571428571</v>
      </c>
      <c r="O20" s="89">
        <f>(L8/7)*O17</f>
        <v>9.1428571428571423</v>
      </c>
      <c r="P20" s="89">
        <f>(L8/7)*P17</f>
        <v>13.142857142857142</v>
      </c>
      <c r="Q20" s="73"/>
      <c r="R20" s="73"/>
      <c r="S20" s="73"/>
      <c r="T20" s="73"/>
      <c r="U20" s="73"/>
      <c r="V20" s="74"/>
    </row>
    <row r="21" spans="1:22">
      <c r="A21" s="73"/>
      <c r="B21" s="73"/>
      <c r="C21" s="73"/>
      <c r="D21" s="73"/>
      <c r="E21" s="73"/>
      <c r="F21" s="73"/>
      <c r="G21" s="87" t="s">
        <v>172</v>
      </c>
      <c r="H21" s="88"/>
      <c r="I21" s="90">
        <f>IF((I13+I18)-(I17+I20)&gt;0,0,(I13+I18)-(I17+I20))</f>
        <v>0</v>
      </c>
      <c r="J21" s="90">
        <f t="shared" ref="J21:P21" si="4">IF((J14+J18)-(J17+J20)&gt;0,0,(J14+J18)-(J17+J20))</f>
        <v>0</v>
      </c>
      <c r="K21" s="90">
        <f t="shared" si="4"/>
        <v>0</v>
      </c>
      <c r="L21" s="90">
        <f t="shared" si="4"/>
        <v>0</v>
      </c>
      <c r="M21" s="90">
        <f t="shared" si="4"/>
        <v>0</v>
      </c>
      <c r="N21" s="90">
        <f t="shared" si="4"/>
        <v>-6.5714285714285694</v>
      </c>
      <c r="O21" s="90">
        <f t="shared" si="4"/>
        <v>-9.1428571428571423</v>
      </c>
      <c r="P21" s="90">
        <f t="shared" si="4"/>
        <v>-26.142857142857139</v>
      </c>
      <c r="Q21" s="73"/>
      <c r="R21" s="73"/>
      <c r="S21" s="73"/>
      <c r="T21" s="73"/>
      <c r="U21" s="73"/>
      <c r="V21" s="74"/>
    </row>
    <row r="22" spans="1:22">
      <c r="A22" s="73"/>
      <c r="B22" s="73"/>
      <c r="C22" s="73"/>
      <c r="D22" s="73"/>
      <c r="E22" s="73"/>
      <c r="F22" s="73"/>
      <c r="G22" s="87" t="s">
        <v>173</v>
      </c>
      <c r="H22" s="88"/>
      <c r="I22" s="89">
        <f>IF(I19&gt;0,IF(I19&gt;$M$8,I19,$M$8),0)</f>
        <v>0</v>
      </c>
      <c r="J22" s="90">
        <f t="shared" ref="J22:P22" si="5">IF(J19&gt;0,IF(J19&gt;$M$8,J19,$M$8),0)</f>
        <v>0</v>
      </c>
      <c r="K22" s="90">
        <f t="shared" si="5"/>
        <v>0</v>
      </c>
      <c r="L22" s="90">
        <f t="shared" si="5"/>
        <v>0</v>
      </c>
      <c r="M22" s="90">
        <f t="shared" si="5"/>
        <v>0</v>
      </c>
      <c r="N22" s="90">
        <f t="shared" si="5"/>
        <v>10</v>
      </c>
      <c r="O22" s="90">
        <f t="shared" si="5"/>
        <v>10</v>
      </c>
      <c r="P22" s="90">
        <f t="shared" si="5"/>
        <v>26.142857142857139</v>
      </c>
      <c r="Q22" s="73"/>
      <c r="R22" s="73"/>
      <c r="S22" s="73"/>
      <c r="T22" s="73"/>
      <c r="U22" s="73"/>
      <c r="V22" s="74"/>
    </row>
    <row r="23" spans="1:22" ht="15" thickBot="1">
      <c r="A23" s="73"/>
      <c r="B23" s="73"/>
      <c r="C23" s="73"/>
      <c r="D23" s="73"/>
      <c r="E23" s="73"/>
      <c r="F23" s="73"/>
      <c r="G23" s="73"/>
      <c r="H23" s="73"/>
      <c r="I23" s="73"/>
      <c r="J23" s="73"/>
      <c r="K23" s="73"/>
      <c r="L23" s="73"/>
      <c r="M23" s="73"/>
      <c r="N23" s="73"/>
      <c r="O23" s="73"/>
      <c r="P23" s="73"/>
      <c r="Q23" s="73"/>
      <c r="R23" s="73"/>
      <c r="S23" s="73"/>
      <c r="T23" s="73"/>
      <c r="U23" s="73"/>
      <c r="V23" s="74"/>
    </row>
    <row r="24" spans="1:22" ht="43.8" thickBot="1">
      <c r="A24" s="73"/>
      <c r="B24" s="73"/>
      <c r="C24" s="73"/>
      <c r="D24" s="73"/>
      <c r="E24" s="73"/>
      <c r="F24" s="73"/>
      <c r="G24" s="79" t="s">
        <v>139</v>
      </c>
      <c r="H24" s="96">
        <f>AVERAGE(I16:P16)</f>
        <v>27.543478260869563</v>
      </c>
      <c r="I24" s="73"/>
      <c r="J24" s="105" t="s">
        <v>174</v>
      </c>
      <c r="K24" s="106" t="s">
        <v>175</v>
      </c>
      <c r="L24" s="106" t="s">
        <v>176</v>
      </c>
      <c r="M24" s="107" t="s">
        <v>177</v>
      </c>
      <c r="N24" s="73"/>
      <c r="O24" s="73"/>
      <c r="P24" s="73"/>
      <c r="Q24" s="73"/>
      <c r="R24" s="73"/>
      <c r="S24" s="73"/>
      <c r="T24" s="73"/>
      <c r="U24" s="73"/>
      <c r="V24" s="74"/>
    </row>
    <row r="25" spans="1:22" ht="29.4" thickBot="1">
      <c r="A25" s="73"/>
      <c r="B25" s="73"/>
      <c r="C25" s="73"/>
      <c r="D25" s="73"/>
      <c r="E25" s="73"/>
      <c r="F25" s="73"/>
      <c r="G25" s="79" t="s">
        <v>140</v>
      </c>
      <c r="H25" s="97">
        <f>(P14-I13)/I13</f>
        <v>-0.90909090909090906</v>
      </c>
      <c r="I25" s="73"/>
      <c r="J25" s="110">
        <f>VLOOKUP(C8,Article!A:F,6,FALSE)</f>
        <v>12576</v>
      </c>
      <c r="K25" s="108" cm="1">
        <f t="array" ref="K25">IFERROR(INDEX('Fournisseurs-Magasin'!C:C,MATCH(TRUE,IF((J25='Fournisseurs-Magasin'!A:A)*(DRP_V2!D8='Fournisseurs-Magasin'!B:B),TRUE,FALSE),0)),"")</f>
        <v>869</v>
      </c>
      <c r="L25" s="108" t="str" cm="1">
        <f t="array" ref="L25">INDEX(Transporteurs!A2:A9, MATCH(MIN($K$25 * Transporteurs!C2:C9 +Transporteurs!B2:B9),$K$25 * Transporteurs!C2:C9 +Transporteurs!B2:B9, 0))</f>
        <v>AV</v>
      </c>
      <c r="M25" s="109" cm="1">
        <f t="array" ref="M25">MIN($K$25 * Transporteurs!C2:C9 + Transporteurs!B2:B9)</f>
        <v>944</v>
      </c>
      <c r="N25" s="73"/>
      <c r="O25" s="73"/>
      <c r="P25" s="73"/>
      <c r="Q25" s="73"/>
      <c r="R25" s="73"/>
      <c r="S25" s="73"/>
      <c r="T25" s="73"/>
      <c r="U25" s="73"/>
      <c r="V25" s="74"/>
    </row>
    <row r="26" spans="1:22">
      <c r="A26" s="73"/>
      <c r="B26" s="73"/>
      <c r="C26" s="73"/>
      <c r="D26" s="73"/>
      <c r="E26" s="73"/>
      <c r="F26" s="73"/>
      <c r="G26" s="73"/>
      <c r="H26" s="73"/>
      <c r="I26" s="73"/>
      <c r="J26" s="73"/>
      <c r="K26" s="73"/>
      <c r="L26" s="73"/>
      <c r="M26" s="73"/>
      <c r="N26" s="73"/>
      <c r="O26" s="73"/>
      <c r="P26" s="73"/>
      <c r="Q26" s="73"/>
      <c r="R26" s="73"/>
      <c r="S26" s="73"/>
      <c r="T26" s="73"/>
      <c r="U26" s="73"/>
      <c r="V26" s="74"/>
    </row>
    <row r="27" spans="1:22">
      <c r="A27" s="73"/>
      <c r="B27" s="73"/>
      <c r="C27" s="73"/>
      <c r="D27" s="73"/>
      <c r="E27" s="73"/>
      <c r="F27" s="73"/>
      <c r="G27" s="73"/>
      <c r="H27" s="73"/>
      <c r="I27" s="73"/>
      <c r="J27" s="73"/>
      <c r="K27" s="73"/>
      <c r="L27" s="73"/>
      <c r="M27" s="73"/>
      <c r="N27" s="73"/>
      <c r="O27" s="73"/>
      <c r="P27" s="73"/>
      <c r="Q27" s="73"/>
      <c r="R27" s="73"/>
      <c r="S27" s="73"/>
      <c r="T27" s="73"/>
      <c r="U27" s="73"/>
      <c r="V27" s="74"/>
    </row>
    <row r="28" spans="1:22">
      <c r="A28" s="73"/>
      <c r="B28" s="73"/>
      <c r="C28" s="73"/>
      <c r="D28" s="73"/>
      <c r="E28" s="73"/>
      <c r="F28" s="73"/>
      <c r="G28" s="73"/>
      <c r="H28" s="73"/>
      <c r="I28" s="73"/>
      <c r="J28" s="73"/>
      <c r="K28" s="73"/>
      <c r="L28" s="73"/>
      <c r="M28" s="73"/>
      <c r="N28" s="73"/>
      <c r="O28" s="73"/>
      <c r="P28" s="73"/>
      <c r="Q28" s="73"/>
      <c r="R28" s="73"/>
      <c r="S28" s="73"/>
      <c r="T28" s="73"/>
      <c r="U28" s="73"/>
      <c r="V28" s="74"/>
    </row>
    <row r="29" spans="1:22">
      <c r="A29" s="73"/>
      <c r="B29" s="73"/>
      <c r="C29" s="73"/>
      <c r="D29" s="73"/>
      <c r="E29" s="73"/>
      <c r="F29" s="73"/>
      <c r="G29" s="73"/>
      <c r="H29" s="73"/>
      <c r="I29" s="73"/>
      <c r="J29" s="73"/>
      <c r="K29" s="73"/>
      <c r="L29" s="73"/>
      <c r="M29" s="73"/>
      <c r="N29" s="73"/>
      <c r="O29" s="73"/>
      <c r="P29" s="73"/>
      <c r="Q29" s="73"/>
      <c r="R29" s="73"/>
      <c r="S29" s="73"/>
      <c r="T29" s="73"/>
      <c r="U29" s="73"/>
      <c r="V29" s="74"/>
    </row>
    <row r="30" spans="1:22">
      <c r="A30" s="73"/>
      <c r="B30" s="73"/>
      <c r="C30" s="73"/>
      <c r="D30" s="73"/>
      <c r="E30" s="73"/>
      <c r="F30" s="73"/>
      <c r="G30" s="73"/>
      <c r="H30" s="73"/>
      <c r="I30" s="73"/>
      <c r="J30" s="73"/>
      <c r="K30" s="73"/>
      <c r="L30" s="73"/>
      <c r="M30" s="73"/>
      <c r="N30" s="73"/>
      <c r="O30" s="73"/>
      <c r="P30" s="73"/>
      <c r="Q30" s="73"/>
      <c r="R30" s="73"/>
      <c r="S30" s="73"/>
      <c r="T30" s="73"/>
      <c r="U30" s="73"/>
      <c r="V30" s="74"/>
    </row>
    <row r="31" spans="1:22">
      <c r="A31" s="73"/>
      <c r="B31" s="73"/>
      <c r="C31" s="73"/>
      <c r="D31" s="73"/>
      <c r="E31" s="74"/>
      <c r="F31" s="74"/>
      <c r="G31" s="73"/>
      <c r="H31" s="74"/>
      <c r="I31" s="73"/>
      <c r="J31" s="73"/>
      <c r="K31" s="73"/>
      <c r="L31" s="73"/>
      <c r="M31" s="73"/>
      <c r="N31" s="73"/>
      <c r="O31" s="73"/>
      <c r="P31" s="73"/>
      <c r="Q31" s="98"/>
      <c r="R31" s="73"/>
      <c r="S31" s="73"/>
      <c r="T31" s="73"/>
      <c r="U31" s="73"/>
      <c r="V31" s="74"/>
    </row>
    <row r="32" spans="1:22">
      <c r="A32" s="73"/>
      <c r="B32" s="73"/>
      <c r="C32" s="73"/>
      <c r="D32" s="73"/>
      <c r="E32" s="73"/>
      <c r="F32" s="73"/>
      <c r="G32" s="73"/>
      <c r="H32" s="73"/>
      <c r="I32" s="73"/>
      <c r="J32" s="73"/>
      <c r="K32" s="73"/>
      <c r="L32" s="73"/>
      <c r="M32" s="73"/>
      <c r="N32" s="73"/>
      <c r="O32" s="73"/>
      <c r="P32" s="73"/>
      <c r="Q32" s="73"/>
      <c r="R32" s="73"/>
      <c r="S32" s="73"/>
      <c r="T32" s="73"/>
      <c r="U32" s="73"/>
      <c r="V32" s="74"/>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4"/>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4"/>
    </row>
    <row r="35" spans="1:25">
      <c r="A35" s="73"/>
      <c r="B35" s="73"/>
      <c r="C35" s="73"/>
      <c r="D35" s="73"/>
      <c r="E35" s="73"/>
      <c r="F35" s="73"/>
      <c r="G35" s="73"/>
      <c r="H35" s="73"/>
      <c r="I35" s="73"/>
      <c r="J35" s="73"/>
      <c r="K35" s="73"/>
      <c r="L35" s="73"/>
      <c r="M35" s="73"/>
      <c r="N35" s="73"/>
      <c r="O35" s="73"/>
      <c r="P35" s="73"/>
      <c r="Q35" s="73"/>
      <c r="R35" s="73"/>
      <c r="S35" s="73"/>
      <c r="T35" s="73"/>
      <c r="U35" s="73"/>
      <c r="V35" s="74"/>
    </row>
    <row r="36" spans="1:25">
      <c r="A36" s="73"/>
      <c r="B36" s="73"/>
      <c r="C36" s="73"/>
      <c r="D36" s="73"/>
      <c r="E36" s="73"/>
      <c r="F36" s="73"/>
      <c r="G36" s="73"/>
      <c r="H36" s="73"/>
      <c r="I36" s="73"/>
      <c r="J36" s="73"/>
      <c r="K36" s="73"/>
      <c r="L36" s="73"/>
      <c r="M36" s="73"/>
      <c r="N36" s="73"/>
      <c r="O36" s="73"/>
      <c r="P36" s="73"/>
      <c r="Q36" s="73"/>
      <c r="R36" s="73"/>
      <c r="S36" s="73"/>
      <c r="T36" s="73"/>
      <c r="U36" s="73"/>
      <c r="V36" s="74"/>
    </row>
    <row r="37" spans="1:25">
      <c r="A37" s="73"/>
      <c r="B37" s="73"/>
      <c r="C37" s="73"/>
      <c r="D37" s="73"/>
      <c r="E37" s="73"/>
      <c r="F37" s="73"/>
      <c r="G37" s="73"/>
      <c r="H37" s="73"/>
      <c r="I37" s="73"/>
      <c r="J37" s="73"/>
      <c r="K37" s="73"/>
      <c r="L37" s="73"/>
      <c r="M37" s="73"/>
      <c r="N37" s="73"/>
      <c r="O37" s="73"/>
      <c r="P37" s="73"/>
      <c r="Q37" s="73"/>
      <c r="R37" s="73"/>
      <c r="S37" s="73"/>
      <c r="T37" s="74"/>
      <c r="U37" s="74"/>
      <c r="V37" s="74"/>
    </row>
    <row r="38" spans="1:25">
      <c r="A38" s="73"/>
      <c r="B38" s="73"/>
      <c r="C38" s="73"/>
      <c r="D38" s="73"/>
      <c r="E38" s="73"/>
      <c r="F38" s="73"/>
      <c r="G38" s="73"/>
      <c r="H38" s="73"/>
      <c r="I38" s="73"/>
      <c r="J38" s="73"/>
      <c r="K38" s="73"/>
      <c r="L38" s="73"/>
      <c r="M38" s="73"/>
      <c r="N38" s="73"/>
      <c r="O38" s="73"/>
      <c r="P38" s="73"/>
      <c r="Q38" s="73"/>
      <c r="R38" s="73"/>
      <c r="S38" s="73"/>
      <c r="T38" s="74"/>
      <c r="U38" s="74"/>
      <c r="V38" s="74"/>
    </row>
    <row r="39" spans="1:25">
      <c r="A39" s="73"/>
      <c r="B39" s="73"/>
      <c r="C39" s="73"/>
      <c r="D39" s="73"/>
      <c r="E39" s="73"/>
      <c r="F39" s="73"/>
      <c r="G39" s="73"/>
      <c r="H39" s="73"/>
      <c r="I39" s="73"/>
      <c r="J39" s="73"/>
      <c r="K39" s="73"/>
      <c r="L39" s="73"/>
      <c r="M39" s="73"/>
      <c r="N39" s="73"/>
      <c r="O39" s="73"/>
      <c r="P39" s="73"/>
      <c r="Q39" s="73"/>
      <c r="R39" s="73"/>
      <c r="S39" s="73"/>
      <c r="T39" s="74"/>
      <c r="U39" s="74"/>
      <c r="V39" s="74"/>
    </row>
    <row r="40" spans="1:25">
      <c r="A40" s="73"/>
      <c r="B40" s="73"/>
      <c r="C40" s="73"/>
      <c r="D40" s="73"/>
      <c r="E40" s="73"/>
      <c r="F40" s="73"/>
      <c r="G40" s="73"/>
      <c r="H40" s="73"/>
      <c r="I40" s="73"/>
      <c r="J40" s="73"/>
      <c r="K40" s="73"/>
      <c r="L40" s="73"/>
      <c r="M40" s="73"/>
      <c r="N40" s="73"/>
      <c r="O40" s="73"/>
      <c r="P40" s="73"/>
      <c r="Q40" s="73"/>
      <c r="R40" s="73"/>
      <c r="S40" s="73"/>
      <c r="T40" s="74"/>
      <c r="U40" s="74"/>
      <c r="V40" s="74"/>
    </row>
    <row r="41" spans="1:25" ht="15" thickBot="1">
      <c r="A41" s="99"/>
      <c r="B41" s="99"/>
      <c r="C41" s="99"/>
      <c r="D41" s="99"/>
      <c r="E41" s="99"/>
      <c r="F41" s="99"/>
      <c r="G41" s="99"/>
      <c r="H41" s="99"/>
      <c r="I41" s="99"/>
      <c r="J41" s="99"/>
      <c r="K41" s="99"/>
      <c r="L41" s="99"/>
      <c r="M41" s="99"/>
      <c r="N41" s="99"/>
      <c r="O41" s="99"/>
      <c r="P41" s="99"/>
      <c r="Q41" s="99"/>
      <c r="R41" s="99"/>
      <c r="S41" s="99"/>
      <c r="T41" s="100"/>
      <c r="U41" s="100"/>
      <c r="V41" s="100"/>
    </row>
    <row r="42" spans="1:25" ht="15" thickTop="1">
      <c r="A42" s="120" t="s">
        <v>141</v>
      </c>
      <c r="B42" s="121"/>
      <c r="C42" s="121"/>
      <c r="D42" s="121"/>
      <c r="E42" s="121"/>
      <c r="F42" s="121"/>
      <c r="G42" s="121"/>
      <c r="H42" s="121"/>
      <c r="I42" s="121"/>
      <c r="J42" s="121"/>
      <c r="K42" s="122"/>
      <c r="L42" s="99"/>
      <c r="M42" s="99"/>
      <c r="N42" s="99"/>
      <c r="O42" s="99"/>
      <c r="P42" s="99"/>
      <c r="Q42" s="99"/>
      <c r="R42" s="99"/>
      <c r="S42" s="99"/>
      <c r="T42" s="100"/>
      <c r="U42" s="100"/>
      <c r="V42" s="100"/>
    </row>
    <row r="43" spans="1:25">
      <c r="A43" s="123"/>
      <c r="B43" s="124"/>
      <c r="C43" s="124"/>
      <c r="D43" s="124"/>
      <c r="E43" s="124"/>
      <c r="F43" s="124"/>
      <c r="G43" s="124"/>
      <c r="H43" s="124"/>
      <c r="I43" s="124"/>
      <c r="J43" s="124"/>
      <c r="K43" s="125"/>
      <c r="L43" s="99"/>
      <c r="M43" s="99"/>
      <c r="N43" s="99"/>
      <c r="O43" s="99"/>
      <c r="P43" s="99"/>
      <c r="Q43" s="99"/>
      <c r="R43" s="99"/>
      <c r="S43" s="99"/>
      <c r="T43" s="100"/>
      <c r="U43" s="100"/>
      <c r="V43" s="100"/>
    </row>
    <row r="44" spans="1:25">
      <c r="A44" s="123"/>
      <c r="B44" s="124"/>
      <c r="C44" s="124"/>
      <c r="D44" s="124"/>
      <c r="E44" s="124"/>
      <c r="F44" s="124"/>
      <c r="G44" s="124"/>
      <c r="H44" s="124"/>
      <c r="I44" s="124"/>
      <c r="J44" s="124"/>
      <c r="K44" s="125"/>
      <c r="L44" s="99"/>
      <c r="M44" s="99"/>
      <c r="N44" s="99"/>
      <c r="O44" s="99"/>
      <c r="P44" s="99"/>
      <c r="Q44" s="99"/>
      <c r="R44" s="99"/>
      <c r="S44" s="99"/>
      <c r="T44" s="100"/>
      <c r="U44" s="100"/>
      <c r="V44" s="100"/>
    </row>
    <row r="45" spans="1:25">
      <c r="A45" s="123"/>
      <c r="B45" s="124"/>
      <c r="C45" s="124"/>
      <c r="D45" s="124"/>
      <c r="E45" s="124"/>
      <c r="F45" s="124"/>
      <c r="G45" s="124"/>
      <c r="H45" s="124"/>
      <c r="I45" s="124"/>
      <c r="J45" s="124"/>
      <c r="K45" s="125"/>
      <c r="L45" s="99"/>
      <c r="M45" s="99"/>
      <c r="N45" s="99"/>
      <c r="O45" s="99"/>
      <c r="P45" s="99"/>
      <c r="Q45" s="99"/>
      <c r="R45" s="99"/>
      <c r="S45" s="99"/>
      <c r="T45" s="100"/>
      <c r="U45" s="100"/>
      <c r="V45" s="100"/>
    </row>
    <row r="46" spans="1:25">
      <c r="A46" s="123"/>
      <c r="B46" s="124"/>
      <c r="C46" s="124"/>
      <c r="D46" s="124"/>
      <c r="E46" s="124"/>
      <c r="F46" s="124"/>
      <c r="G46" s="124"/>
      <c r="H46" s="124"/>
      <c r="I46" s="124"/>
      <c r="J46" s="124"/>
      <c r="K46" s="125"/>
      <c r="L46" s="99"/>
      <c r="M46" s="99"/>
      <c r="N46" s="99"/>
      <c r="O46" s="99"/>
      <c r="P46" s="99"/>
      <c r="Q46" s="99"/>
      <c r="R46" s="99"/>
      <c r="S46" s="99"/>
      <c r="T46" s="100"/>
      <c r="U46" s="100"/>
      <c r="V46" s="100"/>
    </row>
    <row r="47" spans="1:25">
      <c r="A47" s="123"/>
      <c r="B47" s="124"/>
      <c r="C47" s="124"/>
      <c r="D47" s="124"/>
      <c r="E47" s="124"/>
      <c r="F47" s="124"/>
      <c r="G47" s="124"/>
      <c r="H47" s="124"/>
      <c r="I47" s="124"/>
      <c r="J47" s="124"/>
      <c r="K47" s="125"/>
      <c r="L47" s="99"/>
      <c r="M47" s="99"/>
      <c r="N47" s="99"/>
      <c r="O47" s="99"/>
      <c r="P47" s="99"/>
      <c r="Q47" s="99"/>
      <c r="R47" s="99"/>
      <c r="S47" s="99"/>
      <c r="T47" s="100"/>
      <c r="U47" s="100"/>
      <c r="V47" s="100"/>
    </row>
    <row r="48" spans="1:25">
      <c r="A48" s="123"/>
      <c r="B48" s="124"/>
      <c r="C48" s="124"/>
      <c r="D48" s="124"/>
      <c r="E48" s="124"/>
      <c r="F48" s="124"/>
      <c r="G48" s="124"/>
      <c r="H48" s="124"/>
      <c r="I48" s="124"/>
      <c r="J48" s="124"/>
      <c r="K48" s="125"/>
      <c r="L48" s="99"/>
      <c r="M48" s="99"/>
      <c r="N48" s="99"/>
      <c r="O48" s="99"/>
      <c r="P48" s="99"/>
      <c r="Q48" s="99"/>
      <c r="R48" s="99"/>
      <c r="S48" s="99"/>
      <c r="T48" s="100"/>
      <c r="U48" s="100"/>
      <c r="V48" s="100"/>
    </row>
    <row r="49" spans="1:22">
      <c r="A49" s="123"/>
      <c r="B49" s="124"/>
      <c r="C49" s="124"/>
      <c r="D49" s="124"/>
      <c r="E49" s="124"/>
      <c r="F49" s="124"/>
      <c r="G49" s="124"/>
      <c r="H49" s="124"/>
      <c r="I49" s="124"/>
      <c r="J49" s="124"/>
      <c r="K49" s="125"/>
      <c r="L49" s="99"/>
      <c r="M49" s="99"/>
      <c r="N49" s="99"/>
      <c r="O49" s="99"/>
      <c r="P49" s="99"/>
      <c r="Q49" s="99"/>
      <c r="R49" s="99"/>
      <c r="S49" s="99"/>
      <c r="T49" s="100"/>
      <c r="U49" s="100"/>
      <c r="V49" s="100"/>
    </row>
    <row r="50" spans="1:22">
      <c r="A50" s="123"/>
      <c r="B50" s="124"/>
      <c r="C50" s="124"/>
      <c r="D50" s="124"/>
      <c r="E50" s="124"/>
      <c r="F50" s="124"/>
      <c r="G50" s="124"/>
      <c r="H50" s="124"/>
      <c r="I50" s="124"/>
      <c r="J50" s="124"/>
      <c r="K50" s="125"/>
      <c r="L50" s="99"/>
      <c r="M50" s="99"/>
      <c r="N50" s="99"/>
      <c r="O50" s="99"/>
      <c r="P50" s="99"/>
      <c r="Q50" s="99"/>
      <c r="R50" s="99"/>
      <c r="S50" s="99"/>
      <c r="T50" s="100"/>
      <c r="U50" s="100"/>
      <c r="V50" s="100"/>
    </row>
    <row r="51" spans="1:22">
      <c r="A51" s="123"/>
      <c r="B51" s="124"/>
      <c r="C51" s="124"/>
      <c r="D51" s="124"/>
      <c r="E51" s="124"/>
      <c r="F51" s="124"/>
      <c r="G51" s="124"/>
      <c r="H51" s="124"/>
      <c r="I51" s="124"/>
      <c r="J51" s="124"/>
      <c r="K51" s="125"/>
      <c r="L51" s="99"/>
      <c r="M51" s="99"/>
      <c r="N51" s="99"/>
      <c r="O51" s="99"/>
      <c r="P51" s="99"/>
      <c r="Q51" s="99"/>
      <c r="R51" s="99"/>
      <c r="S51" s="99"/>
      <c r="T51" s="100"/>
      <c r="U51" s="100"/>
      <c r="V51" s="100"/>
    </row>
    <row r="52" spans="1:22">
      <c r="A52" s="123"/>
      <c r="B52" s="124"/>
      <c r="C52" s="124"/>
      <c r="D52" s="124"/>
      <c r="E52" s="124"/>
      <c r="F52" s="124"/>
      <c r="G52" s="124"/>
      <c r="H52" s="124"/>
      <c r="I52" s="124"/>
      <c r="J52" s="124"/>
      <c r="K52" s="125"/>
      <c r="L52" s="99"/>
      <c r="M52" s="99"/>
      <c r="N52" s="99"/>
      <c r="O52" s="99"/>
      <c r="P52" s="99"/>
      <c r="Q52" s="99"/>
      <c r="R52" s="99"/>
      <c r="S52" s="99"/>
      <c r="T52" s="100"/>
      <c r="U52" s="100"/>
      <c r="V52" s="100"/>
    </row>
    <row r="53" spans="1:22">
      <c r="A53" s="123"/>
      <c r="B53" s="124"/>
      <c r="C53" s="124"/>
      <c r="D53" s="124"/>
      <c r="E53" s="124"/>
      <c r="F53" s="124"/>
      <c r="G53" s="124"/>
      <c r="H53" s="124"/>
      <c r="I53" s="124"/>
      <c r="J53" s="124"/>
      <c r="K53" s="125"/>
      <c r="L53" s="99"/>
      <c r="M53" s="99"/>
      <c r="N53" s="99"/>
      <c r="O53" s="99"/>
      <c r="P53" s="99"/>
      <c r="Q53" s="99"/>
      <c r="R53" s="99"/>
      <c r="S53" s="99"/>
      <c r="T53" s="100"/>
      <c r="U53" s="100"/>
      <c r="V53" s="100"/>
    </row>
    <row r="54" spans="1:22" ht="15" thickBot="1">
      <c r="A54" s="126"/>
      <c r="B54" s="127"/>
      <c r="C54" s="127"/>
      <c r="D54" s="127"/>
      <c r="E54" s="127"/>
      <c r="F54" s="127"/>
      <c r="G54" s="127"/>
      <c r="H54" s="127"/>
      <c r="I54" s="127"/>
      <c r="J54" s="127"/>
      <c r="K54" s="128"/>
      <c r="L54" s="99"/>
      <c r="M54" s="99"/>
      <c r="N54" s="99"/>
      <c r="O54" s="99"/>
      <c r="P54" s="99"/>
      <c r="Q54" s="99"/>
      <c r="R54" s="99"/>
      <c r="S54" s="99"/>
      <c r="T54" s="100"/>
      <c r="U54" s="100"/>
      <c r="V54" s="100"/>
    </row>
    <row r="55" spans="1:22" ht="15" thickTop="1"/>
  </sheetData>
  <mergeCells count="6">
    <mergeCell ref="A42:K54"/>
    <mergeCell ref="G6:M6"/>
    <mergeCell ref="A1:V4"/>
    <mergeCell ref="B6:D6"/>
    <mergeCell ref="B11:D11"/>
    <mergeCell ref="G11:H12"/>
  </mergeCells>
  <phoneticPr fontId="26" type="noConversion"/>
  <conditionalFormatting sqref="C13">
    <cfRule type="cellIs" dxfId="3" priority="12" operator="greaterThanOrEqual">
      <formula>$B$8</formula>
    </cfRule>
    <cfRule type="cellIs" dxfId="2" priority="13" operator="lessThanOrEqual">
      <formula>Q7</formula>
    </cfRule>
  </conditionalFormatting>
  <conditionalFormatting sqref="I16:P16">
    <cfRule type="cellIs" dxfId="1" priority="1" operator="lessThan">
      <formula>7</formula>
    </cfRule>
  </conditionalFormatting>
  <conditionalFormatting sqref="I19:P19">
    <cfRule type="iconSet" priority="9">
      <iconSet iconSet="3Symbols2">
        <cfvo type="percent" val="0"/>
        <cfvo type="percent" val="33"/>
        <cfvo type="percent" val="67"/>
      </iconSet>
    </cfRule>
  </conditionalFormatting>
  <conditionalFormatting sqref="I22:P22">
    <cfRule type="cellIs" dxfId="0" priority="5" operator="greaterThan">
      <formula>0</formula>
    </cfRule>
  </conditionalFormatting>
  <dataValidations count="2">
    <dataValidation type="whole" allowBlank="1" showErrorMessage="1" errorTitle="Invalide" error="Veuillez choisir une autre combinaison de &quot;SKU&quot; et &quot;Location ID&quot;!" promptTitle="Invalide" prompt="Combinaison &quot; SKU&quot;  et &quot;Location ID&quot; introuvable!" sqref="I13" xr:uid="{CC219F14-8E1B-4A69-9593-7D79095B50EB}">
      <formula1>0</formula1>
      <formula2>100000000000</formula2>
    </dataValidation>
    <dataValidation type="date" operator="greaterThanOrEqual" allowBlank="1" showInputMessage="1" showErrorMessage="1" errorTitle="Date invalide" error="La Date doite être  égale ou superieure à &quot;27/06/2022&quot;" prompt="La Date doite être  égale ou superieure à &quot;27/06/2022&quot;" sqref="B8" xr:uid="{13E15DC6-1955-4BDE-913B-63A157B2E8B8}">
      <formula1>44739</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8" id="{E9E45B60-9B6B-44C3-8CAD-32C47F9B2018}">
            <x14:iconSet iconSet="3Symbols2" custom="1">
              <x14:cfvo type="percent">
                <xm:f>0</xm:f>
              </x14:cfvo>
              <x14:cfvo type="num" gte="0">
                <xm:f>0</xm:f>
              </x14:cfvo>
              <x14:cfvo type="num">
                <xm:f>$M$8</xm:f>
              </x14:cfvo>
              <x14:cfIcon iconSet="3Symbols2" iconId="2"/>
              <x14:cfIcon iconSet="3Symbols2" iconId="1"/>
              <x14:cfIcon iconSet="3Symbols2" iconId="0"/>
            </x14:iconSet>
          </x14:cfRule>
          <xm:sqref>H19:P19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16106E6E-8627-4F86-B905-3FCB71F2BD83}">
          <x14:formula1>
            <xm:f>Article!$A$2:$A$31</xm:f>
          </x14:formula1>
          <xm:sqref>C8</xm:sqref>
        </x14:dataValidation>
        <x14:dataValidation type="list" allowBlank="1" showInputMessage="1" showErrorMessage="1" xr:uid="{D124B5D6-670E-456C-8430-87E8FCDF275D}">
          <x14:formula1>
            <xm:f>Shop!$A$2:$A$19</xm:f>
          </x14:formula1>
          <xm:sqref>D8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5214-13CB-401F-90E2-3FAAB95E360C}">
  <sheetPr codeName="Feuil1"/>
  <dimension ref="A1:K26"/>
  <sheetViews>
    <sheetView workbookViewId="0">
      <selection activeCell="N28" sqref="N28"/>
    </sheetView>
  </sheetViews>
  <sheetFormatPr baseColWidth="10" defaultRowHeight="14.4"/>
  <sheetData>
    <row r="1" spans="1:2">
      <c r="A1" s="111" t="s">
        <v>178</v>
      </c>
    </row>
    <row r="2" spans="1:2">
      <c r="A2" s="112" t="s">
        <v>179</v>
      </c>
    </row>
    <row r="3" spans="1:2" ht="15" thickBot="1">
      <c r="A3" s="113" t="s">
        <v>180</v>
      </c>
    </row>
    <row r="4" spans="1:2">
      <c r="A4" s="114"/>
    </row>
    <row r="12" spans="1:2">
      <c r="B12" s="111" t="s">
        <v>178</v>
      </c>
    </row>
    <row r="13" spans="1:2">
      <c r="B13" s="112" t="s">
        <v>179</v>
      </c>
    </row>
    <row r="14" spans="1:2" ht="15" thickBot="1">
      <c r="B14" s="113" t="s">
        <v>180</v>
      </c>
    </row>
    <row r="15" spans="1:2">
      <c r="B15" s="114"/>
    </row>
    <row r="25" spans="11:11" ht="26.4">
      <c r="K25" s="102" t="s">
        <v>181</v>
      </c>
    </row>
    <row r="26" spans="11:11">
      <c r="K26" s="104" t="s">
        <v>182</v>
      </c>
    </row>
  </sheetData>
  <pageMargins left="0.7" right="0.7" top="0.75" bottom="0.75" header="0.3" footer="0.3"/>
  <drawing r:id="rId1"/>
  <legacyDrawing r:id="rId2"/>
  <controls>
    <mc:AlternateContent xmlns:mc="http://schemas.openxmlformats.org/markup-compatibility/2006">
      <mc:Choice Requires="x14">
        <control shapeId="13316" r:id="rId3" name="Control 4">
          <controlPr defaultSize="0" r:id="rId4">
            <anchor moveWithCells="1">
              <from>
                <xdr:col>2</xdr:col>
                <xdr:colOff>0</xdr:colOff>
                <xdr:row>14</xdr:row>
                <xdr:rowOff>0</xdr:rowOff>
              </from>
              <to>
                <xdr:col>4</xdr:col>
                <xdr:colOff>784860</xdr:colOff>
                <xdr:row>18</xdr:row>
                <xdr:rowOff>175260</xdr:rowOff>
              </to>
            </anchor>
          </controlPr>
        </control>
      </mc:Choice>
      <mc:Fallback>
        <control shapeId="13316" r:id="rId3" name="Control 4"/>
      </mc:Fallback>
    </mc:AlternateContent>
    <mc:AlternateContent xmlns:mc="http://schemas.openxmlformats.org/markup-compatibility/2006">
      <mc:Choice Requires="x14">
        <control shapeId="13315" r:id="rId5" name="Control 3">
          <controlPr defaultSize="0" r:id="rId6">
            <anchor moveWithCells="1">
              <from>
                <xdr:col>1</xdr:col>
                <xdr:colOff>0</xdr:colOff>
                <xdr:row>14</xdr:row>
                <xdr:rowOff>0</xdr:rowOff>
              </from>
              <to>
                <xdr:col>3</xdr:col>
                <xdr:colOff>548640</xdr:colOff>
                <xdr:row>18</xdr:row>
                <xdr:rowOff>175260</xdr:rowOff>
              </to>
            </anchor>
          </controlPr>
        </control>
      </mc:Choice>
      <mc:Fallback>
        <control shapeId="13315" r:id="rId5" name="Control 3"/>
      </mc:Fallback>
    </mc:AlternateContent>
    <mc:AlternateContent xmlns:mc="http://schemas.openxmlformats.org/markup-compatibility/2006">
      <mc:Choice Requires="x14">
        <control shapeId="13314" r:id="rId7" name="Control 2">
          <controlPr defaultSize="0" r:id="rId4">
            <anchor moveWithCells="1">
              <from>
                <xdr:col>1</xdr:col>
                <xdr:colOff>0</xdr:colOff>
                <xdr:row>3</xdr:row>
                <xdr:rowOff>0</xdr:rowOff>
              </from>
              <to>
                <xdr:col>3</xdr:col>
                <xdr:colOff>784860</xdr:colOff>
                <xdr:row>7</xdr:row>
                <xdr:rowOff>175260</xdr:rowOff>
              </to>
            </anchor>
          </controlPr>
        </control>
      </mc:Choice>
      <mc:Fallback>
        <control shapeId="13314" r:id="rId7" name="Control 2"/>
      </mc:Fallback>
    </mc:AlternateContent>
    <mc:AlternateContent xmlns:mc="http://schemas.openxmlformats.org/markup-compatibility/2006">
      <mc:Choice Requires="x14">
        <control shapeId="13313" r:id="rId8" name="Control 1">
          <controlPr defaultSize="0" r:id="rId6">
            <anchor moveWithCells="1">
              <from>
                <xdr:col>0</xdr:col>
                <xdr:colOff>0</xdr:colOff>
                <xdr:row>3</xdr:row>
                <xdr:rowOff>0</xdr:rowOff>
              </from>
              <to>
                <xdr:col>2</xdr:col>
                <xdr:colOff>548640</xdr:colOff>
                <xdr:row>7</xdr:row>
                <xdr:rowOff>175260</xdr:rowOff>
              </to>
            </anchor>
          </controlPr>
        </control>
      </mc:Choice>
      <mc:Fallback>
        <control shapeId="13313" r:id="rId8" name="Control 1"/>
      </mc:Fallback>
    </mc:AlternateContent>
  </contro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E3C-F6FB-42E3-AFB2-94E10922299D}">
  <dimension ref="A1:L22"/>
  <sheetViews>
    <sheetView workbookViewId="0"/>
  </sheetViews>
  <sheetFormatPr baseColWidth="10" defaultRowHeight="14.4"/>
  <sheetData>
    <row r="1" spans="1:12">
      <c r="A1">
        <f>IF(I14+I13+I18&lt;0,0,IF(I15&lt;0,(1+I15/I17)*7,IF(J15&lt;0,7+(1+J15/J17)*7,IF(K15&lt;0,14+(1+K15/K17)*7,IF(L15&lt;0,21+(1+L15/L17)*7,IF(M15&lt;0,28+(1+M15/M17)*7,IF(N15&lt;0,35+(1+N15/N17)*7,IF(O15&lt;0,42+(1+O15/O17)*7,IF(P15&lt;0,49+(1+P15/P17)*7,56)))))))))</f>
        <v>56</v>
      </c>
    </row>
    <row r="2" spans="1:12">
      <c r="A2" t="s">
        <v>147</v>
      </c>
      <c r="G2" s="104"/>
    </row>
    <row r="3" spans="1:12">
      <c r="A3" t="s">
        <v>143</v>
      </c>
    </row>
    <row r="5" spans="1:12">
      <c r="A5" t="s">
        <v>148</v>
      </c>
    </row>
    <row r="6" spans="1:12">
      <c r="A6" t="s">
        <v>145</v>
      </c>
    </row>
    <row r="7" spans="1:12">
      <c r="A7" t="s">
        <v>148</v>
      </c>
    </row>
    <row r="8" spans="1:12">
      <c r="A8" t="s">
        <v>146</v>
      </c>
    </row>
    <row r="10" spans="1:12">
      <c r="A10" t="s">
        <v>155</v>
      </c>
      <c r="B10" t="s">
        <v>163</v>
      </c>
      <c r="L10" s="101">
        <f>IF(I14+I13+I18&lt;0,0,IF(I15&lt;0,(1+I15/I17)*7,IF(J15&lt;0,7+(1+J15/J17)*7,IF(K15&lt;0,14+(1+K15/K17)*7,IF(L15&lt;0,21+(1+L15/L17)*7,IF(M15&lt;0,28+(1+M15/M17)*7,IF(N15&lt;0,35+(1+N15/N17)*7,IF(O15&lt;0,42+(1+O15/O17)*7,IF(P15&lt;0,49+(1+P15/P17)*7,56)))))))))</f>
        <v>56</v>
      </c>
    </row>
    <row r="11" spans="1:12" ht="26.4">
      <c r="A11" t="s">
        <v>156</v>
      </c>
      <c r="B11" t="s">
        <v>162</v>
      </c>
      <c r="L11" s="102" t="s">
        <v>142</v>
      </c>
    </row>
    <row r="12" spans="1:12" ht="26.4">
      <c r="A12" t="s">
        <v>157</v>
      </c>
      <c r="B12" t="s">
        <v>164</v>
      </c>
      <c r="L12" s="103" t="s">
        <v>143</v>
      </c>
    </row>
    <row r="13" spans="1:12" ht="26.4">
      <c r="A13" t="s">
        <v>158</v>
      </c>
      <c r="B13" t="s">
        <v>165</v>
      </c>
      <c r="L13" s="102" t="s">
        <v>144</v>
      </c>
    </row>
    <row r="14" spans="1:12" ht="26.4">
      <c r="A14" t="s">
        <v>159</v>
      </c>
      <c r="B14" t="s">
        <v>166</v>
      </c>
      <c r="L14" s="103" t="s">
        <v>145</v>
      </c>
    </row>
    <row r="15" spans="1:12" ht="26.4">
      <c r="A15" t="s">
        <v>160</v>
      </c>
      <c r="B15" t="s">
        <v>167</v>
      </c>
      <c r="L15" s="102" t="s">
        <v>144</v>
      </c>
    </row>
    <row r="16" spans="1:12" ht="26.4">
      <c r="A16" t="s">
        <v>161</v>
      </c>
      <c r="B16" t="s">
        <v>168</v>
      </c>
      <c r="L16" s="103" t="s">
        <v>149</v>
      </c>
    </row>
    <row r="17" spans="12:12" ht="26.4">
      <c r="L17" s="102" t="s">
        <v>150</v>
      </c>
    </row>
    <row r="18" spans="12:12" ht="52.8">
      <c r="L18" s="103" t="s">
        <v>151</v>
      </c>
    </row>
    <row r="19" spans="12:12" ht="26.4">
      <c r="L19" s="102" t="s">
        <v>150</v>
      </c>
    </row>
    <row r="20" spans="12:12" ht="52.8">
      <c r="L20" s="103" t="s">
        <v>152</v>
      </c>
    </row>
    <row r="21" spans="12:12" ht="26.4">
      <c r="L21" s="102" t="s">
        <v>153</v>
      </c>
    </row>
    <row r="22" spans="12:12" ht="39.6">
      <c r="L22" s="103"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Article</vt:lpstr>
      <vt:lpstr>Shop</vt:lpstr>
      <vt:lpstr>Fournisseurs-Magasin</vt:lpstr>
      <vt:lpstr>Transporteurs</vt:lpstr>
      <vt:lpstr>Forecast</vt:lpstr>
      <vt:lpstr>Commandes_EnCours</vt:lpstr>
      <vt:lpstr>Stock_S_Encours</vt:lpstr>
      <vt:lpstr>DICODATA</vt:lpstr>
      <vt:lpstr>DRP_V1</vt:lpstr>
      <vt:lpstr>Feuil2</vt:lpstr>
      <vt:lpstr>DRP_V2</vt:lpstr>
      <vt:lpstr>Feuil3</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ARMANDES, CELINE</dc:creator>
  <cp:lastModifiedBy>Tcharnon CISSE</cp:lastModifiedBy>
  <dcterms:created xsi:type="dcterms:W3CDTF">2022-10-31T12:53:56Z</dcterms:created>
  <dcterms:modified xsi:type="dcterms:W3CDTF">2024-09-11T12:02:26Z</dcterms:modified>
</cp:coreProperties>
</file>